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b1de66de45b872/Desktop/Troy_RFP_Response_Readiness_Case_Study/"/>
    </mc:Choice>
  </mc:AlternateContent>
  <xr:revisionPtr revIDLastSave="228" documentId="8_{AC5A9325-909E-407D-942A-42C9DFC5D565}" xr6:coauthVersionLast="47" xr6:coauthVersionMax="47" xr10:uidLastSave="{4694779E-2CA8-4430-A12F-CD85006FE541}"/>
  <bookViews>
    <workbookView xWindow="-108" yWindow="-108" windowWidth="23256" windowHeight="13176" activeTab="3" xr2:uid="{8D5153D3-85B9-4FFE-B7E0-F1556CD0EE33}"/>
  </bookViews>
  <sheets>
    <sheet name="Compliance Matrix" sheetId="1" r:id="rId1"/>
    <sheet name="Source Register" sheetId="2" r:id="rId2"/>
    <sheet name="Summary" sheetId="3" r:id="rId3"/>
    <sheet name="Submission checklist" sheetId="4" r:id="rId4"/>
    <sheet name="Risk and clarification log" sheetId="5" r:id="rId5"/>
    <sheet name="Response plan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<sst xmlns="http://schemas.openxmlformats.org/spreadsheetml/2006/main" count="924" uniqueCount="571">
  <si>
    <t>ID</t>
  </si>
  <si>
    <t>Section</t>
  </si>
  <si>
    <t>Requirement</t>
  </si>
  <si>
    <t>Source / Page</t>
  </si>
  <si>
    <t>Category</t>
  </si>
  <si>
    <t>Obligation Level</t>
  </si>
  <si>
    <t>Classification Rationale</t>
  </si>
  <si>
    <t>Proposed Owner</t>
  </si>
  <si>
    <t>Evidence / Response Needed</t>
  </si>
  <si>
    <t>Readiness Status</t>
  </si>
  <si>
    <t>Addendum Impact</t>
  </si>
  <si>
    <t>Notes / Risk</t>
  </si>
  <si>
    <t>S01</t>
  </si>
  <si>
    <t>I. Comprehensive Solution</t>
  </si>
  <si>
    <t>Base RFP p.11</t>
  </si>
  <si>
    <t>Mandatory</t>
  </si>
  <si>
    <t>S02</t>
  </si>
  <si>
    <t>S03</t>
  </si>
  <si>
    <t>Base RFP pp.11–12</t>
  </si>
  <si>
    <t>S04</t>
  </si>
  <si>
    <t>Base RFP p.12</t>
  </si>
  <si>
    <t>S05</t>
  </si>
  <si>
    <t>II. Technical, Platform &amp; Security</t>
  </si>
  <si>
    <t>S06</t>
  </si>
  <si>
    <t>S07</t>
  </si>
  <si>
    <t>Integration</t>
  </si>
  <si>
    <t>Clarified by Addendum 2</t>
  </si>
  <si>
    <t>S08</t>
  </si>
  <si>
    <t>S09</t>
  </si>
  <si>
    <t>Allow restricted or limited-access portal views for internal and external users.</t>
  </si>
  <si>
    <t>S10</t>
  </si>
  <si>
    <t>S11</t>
  </si>
  <si>
    <t>III. Data Integration Architecture</t>
  </si>
  <si>
    <t>S12</t>
  </si>
  <si>
    <t>S13</t>
  </si>
  <si>
    <t>S14</t>
  </si>
  <si>
    <t>S15</t>
  </si>
  <si>
    <t>IV. Data Migration</t>
  </si>
  <si>
    <t>Data Migration</t>
  </si>
  <si>
    <t>S16</t>
  </si>
  <si>
    <t>S17</t>
  </si>
  <si>
    <t>Base RFP p.13</t>
  </si>
  <si>
    <t>S18</t>
  </si>
  <si>
    <t>S19</t>
  </si>
  <si>
    <t>V. Identity &amp; Account Lifecycle</t>
  </si>
  <si>
    <t>S20</t>
  </si>
  <si>
    <t>S21</t>
  </si>
  <si>
    <t>VI. Prospect, Marketing &amp; Recruitment</t>
  </si>
  <si>
    <t>S22</t>
  </si>
  <si>
    <t>Base RFP pp.13–14</t>
  </si>
  <si>
    <t>S23</t>
  </si>
  <si>
    <t>Base RFP p.14</t>
  </si>
  <si>
    <t>S24</t>
  </si>
  <si>
    <t>Communications</t>
  </si>
  <si>
    <t>S25</t>
  </si>
  <si>
    <t>S26</t>
  </si>
  <si>
    <t>S27</t>
  </si>
  <si>
    <t>VIII. Admissions, Applications &amp; Forms</t>
  </si>
  <si>
    <t>S28</t>
  </si>
  <si>
    <t>S29</t>
  </si>
  <si>
    <t>Modified by Addendum 2</t>
  </si>
  <si>
    <t>S30</t>
  </si>
  <si>
    <t>IX. Events, Travel &amp; Outreach</t>
  </si>
  <si>
    <t>S31</t>
  </si>
  <si>
    <t>X. Data, Analytics, Reporting &amp; Integrations</t>
  </si>
  <si>
    <t>Base RFP pp.14–15</t>
  </si>
  <si>
    <t>S32</t>
  </si>
  <si>
    <t>Base RFP p.15</t>
  </si>
  <si>
    <t>S33</t>
  </si>
  <si>
    <t>S34</t>
  </si>
  <si>
    <t>Data Governance</t>
  </si>
  <si>
    <t>S35</t>
  </si>
  <si>
    <t>XI. SLA &amp; Performance</t>
  </si>
  <si>
    <t>S36</t>
  </si>
  <si>
    <t>S37</t>
  </si>
  <si>
    <t>XII. Project Governance &amp; Implementation</t>
  </si>
  <si>
    <t>Project Manager</t>
  </si>
  <si>
    <t>S38</t>
  </si>
  <si>
    <t>S39</t>
  </si>
  <si>
    <t>XIII. Data Ownership, Security &amp; Exit</t>
  </si>
  <si>
    <t>Base RFP p.16</t>
  </si>
  <si>
    <t>S40</t>
  </si>
  <si>
    <t>S41</t>
  </si>
  <si>
    <t>Document</t>
  </si>
  <si>
    <t>https://www.troy.edu/_assets/financial-affairs-and-online-education/departments/purchasing/_documents/26-004-crm-software-rfp-package.pdf</t>
  </si>
  <si>
    <t>https://www.troy.edu/_assets/financial-affairs-and-online-education/departments/purchasing/_documents/rfp-26-004-customer-relations-management-crm-addendum1.pdf</t>
  </si>
  <si>
    <t>https://www.troy.edu/_assets/financial-affairs-and-online-education/departments/purchasing/_documents/rfp-26-004-customer-relations-management-crm-addendum2.pdf</t>
  </si>
  <si>
    <t>Status</t>
  </si>
  <si>
    <t>Notes</t>
  </si>
  <si>
    <t>Impact</t>
  </si>
  <si>
    <t>SUB-01</t>
  </si>
  <si>
    <t>Base RFP p.22</t>
  </si>
  <si>
    <t>Yes</t>
  </si>
  <si>
    <t>With proposal</t>
  </si>
  <si>
    <t>SUB-02</t>
  </si>
  <si>
    <t>Base RFP pp.17–19, 22</t>
  </si>
  <si>
    <t>SUB-03</t>
  </si>
  <si>
    <t>W-9 form</t>
  </si>
  <si>
    <t>SUB-04</t>
  </si>
  <si>
    <t>HECVAT Lite or accepted HECVAT Full v4</t>
  </si>
  <si>
    <t>Base RFP p.18; Addendum 2 p.10</t>
  </si>
  <si>
    <t>SUB-05</t>
  </si>
  <si>
    <t>Vendor Disclosure Form</t>
  </si>
  <si>
    <t>Base RFP p.22; Addendum 2 p.10</t>
  </si>
  <si>
    <t>Preferred with bid</t>
  </si>
  <si>
    <t>With proposal preferred; before contract finalisation required</t>
  </si>
  <si>
    <t>SUB-06</t>
  </si>
  <si>
    <t>E-Verify / Alabama Immigration documentation</t>
  </si>
  <si>
    <t>SUB-07</t>
  </si>
  <si>
    <t>Performance Bond</t>
  </si>
  <si>
    <t>Base RFP p.22; Addendum 2 p.9</t>
  </si>
  <si>
    <t>No at bid stage</t>
  </si>
  <si>
    <t>After award, before contract finalisation</t>
  </si>
  <si>
    <t>SUB-08</t>
  </si>
  <si>
    <t>Base RFP p.19</t>
  </si>
  <si>
    <t>SUB-09</t>
  </si>
  <si>
    <t>Base RFP p.10</t>
  </si>
  <si>
    <t>SUB-10</t>
  </si>
  <si>
    <t>ADA Section 508 compliance certification</t>
  </si>
  <si>
    <t>SUB-11</t>
  </si>
  <si>
    <t>Base RFP p.5</t>
  </si>
  <si>
    <t>Legal</t>
  </si>
  <si>
    <t>SUB-12</t>
  </si>
  <si>
    <t>Addendum 2 p.10</t>
  </si>
  <si>
    <t>At submission</t>
  </si>
  <si>
    <t>SUB-13</t>
  </si>
  <si>
    <t>USB digital copy</t>
  </si>
  <si>
    <t>No</t>
  </si>
  <si>
    <t>Optional</t>
  </si>
  <si>
    <t>RISK-01</t>
  </si>
  <si>
    <t>Medium</t>
  </si>
  <si>
    <t>Open</t>
  </si>
  <si>
    <t>RISK-02</t>
  </si>
  <si>
    <t>High</t>
  </si>
  <si>
    <t>RISK-03</t>
  </si>
  <si>
    <t>RISK-04</t>
  </si>
  <si>
    <t>RISK-05</t>
  </si>
  <si>
    <t>Addendum 2 p.8</t>
  </si>
  <si>
    <t>RISK-06</t>
  </si>
  <si>
    <t>RISK-07</t>
  </si>
  <si>
    <t>Base RFP p.14; Addendum 2 p.4</t>
  </si>
  <si>
    <t>Resolved by Addendum 2</t>
  </si>
  <si>
    <t>RISK-08</t>
  </si>
  <si>
    <t>Low</t>
  </si>
  <si>
    <t>SUB-14</t>
  </si>
  <si>
    <t>Base RFP p.17</t>
  </si>
  <si>
    <t>SUB-15</t>
  </si>
  <si>
    <t>Base RFP p.17; Addendum 2 p.11</t>
  </si>
  <si>
    <t>SUB-16</t>
  </si>
  <si>
    <t>Pricing for all services</t>
  </si>
  <si>
    <t>Base RFP p.18</t>
  </si>
  <si>
    <t>SUB-17</t>
  </si>
  <si>
    <t>SUB-18</t>
  </si>
  <si>
    <t>SUB-19</t>
  </si>
  <si>
    <t>SUB-20</t>
  </si>
  <si>
    <t>PCI compliance response</t>
  </si>
  <si>
    <t>SUB-21</t>
  </si>
  <si>
    <t>Technical support and operations description</t>
  </si>
  <si>
    <t>Priority</t>
  </si>
  <si>
    <t>RP-01</t>
  </si>
  <si>
    <t>Completed</t>
  </si>
  <si>
    <t>RP-02</t>
  </si>
  <si>
    <t>Compliance Matrix</t>
  </si>
  <si>
    <t>RP-03</t>
  </si>
  <si>
    <t>RP-04</t>
  </si>
  <si>
    <t>Security &amp; Hosting</t>
  </si>
  <si>
    <t>RP-05</t>
  </si>
  <si>
    <t>Implementation</t>
  </si>
  <si>
    <t>RP-06</t>
  </si>
  <si>
    <t>Company Experience</t>
  </si>
  <si>
    <t>Vendor history and references</t>
  </si>
  <si>
    <t>RP-07</t>
  </si>
  <si>
    <t>Pricing</t>
  </si>
  <si>
    <t>RP-08</t>
  </si>
  <si>
    <t>S42</t>
  </si>
  <si>
    <t>New clarification</t>
  </si>
  <si>
    <t>S43</t>
  </si>
  <si>
    <t>AI / Security</t>
  </si>
  <si>
    <t>S44</t>
  </si>
  <si>
    <t>Security / Data Governance</t>
  </si>
  <si>
    <t>S45</t>
  </si>
  <si>
    <t>Security / Compliance</t>
  </si>
  <si>
    <t>Addendum 2 p.25</t>
  </si>
  <si>
    <t>Addendum 2 pp.24, 35</t>
  </si>
  <si>
    <t>Provide one enterprise CRM with a single data architecture and user interface.</t>
  </si>
  <si>
    <t>Platform</t>
  </si>
  <si>
    <t>The Scope says these requirements are mandatory.</t>
  </si>
  <si>
    <t>Technical Team</t>
  </si>
  <si>
    <t>Explain the overall platform and architecture.</t>
  </si>
  <si>
    <t>Vendor input needed</t>
  </si>
  <si>
    <t>A shared-data-model solution may be acceptable if it still works as one platform.</t>
  </si>
  <si>
    <t>Do not rely on several loosely connected third-party systems for the main CRM functions.</t>
  </si>
  <si>
    <t>Troy says the solution should not be a collection of separate systems.</t>
  </si>
  <si>
    <t>Explain how the main CRM functions work together.</t>
  </si>
  <si>
    <t>The main aim is one unified working environment.</t>
  </si>
  <si>
    <t>If third-party components are used, they must work as part of the main platform with a unified data model and user experience.</t>
  </si>
  <si>
    <t>Platform / Integration</t>
  </si>
  <si>
    <t>Conditional mandatory</t>
  </si>
  <si>
    <t>Only applies if third-party components are part of the proposed solution.</t>
  </si>
  <si>
    <t>Explain how any third-party components connect and work with the CRM.</t>
  </si>
  <si>
    <t>No major change</t>
  </si>
  <si>
    <t>Identify any third-party components and explain data consistency, user experience, security and licensing.</t>
  </si>
  <si>
    <t>Required if third-party components are included.</t>
  </si>
  <si>
    <t>List third-party components and explain how they are managed.</t>
  </si>
  <si>
    <t>Provide a secure, web-based, vendor-hosted cloud CRM.</t>
  </si>
  <si>
    <t>Technical / Security</t>
  </si>
  <si>
    <t>Listed as a required technical feature.</t>
  </si>
  <si>
    <t>IT / Security</t>
  </si>
  <si>
    <t>Describe hosting, cloud setup and security approach.</t>
  </si>
  <si>
    <t>Addendum also asks vendors to explain where data is hosted.</t>
  </si>
  <si>
    <t>Support major browsers including Chrome, Firefox, Safari and Edge.</t>
  </si>
  <si>
    <t>Technical</t>
  </si>
  <si>
    <t>Confirm browser support.</t>
  </si>
  <si>
    <t>Integrate with Ellucian Colleague and related Ellucian systems.</t>
  </si>
  <si>
    <t>Integration with Colleague is directly required.</t>
  </si>
  <si>
    <t>Integration Team</t>
  </si>
  <si>
    <t>Explain the Colleague integration approach.</t>
  </si>
  <si>
    <t>Troy uses APIs/Ellucian Ethos and expects vendor-managed integration.</t>
  </si>
  <si>
    <t>Provide mobile-responsive functionality for users and staff.</t>
  </si>
  <si>
    <t>Confirm mobile-responsive support.</t>
  </si>
  <si>
    <t>Security / Access</t>
  </si>
  <si>
    <t>Explain how access and portal views can be controlled.</t>
  </si>
  <si>
    <t>Portal experiences may vary by user group.</t>
  </si>
  <si>
    <t>Provide pricing based mainly on workload or volume rather than only named/concurrent users.</t>
  </si>
  <si>
    <t>Base RFP p.12; Addendum 2 p.26</t>
  </si>
  <si>
    <t>Commercial</t>
  </si>
  <si>
    <t>Mandatory in base RFP, relaxed by Addendum 2</t>
  </si>
  <si>
    <t>The base RFP gives a pricing rule, but the addendum allows user-based pricing if it is explained.</t>
  </si>
  <si>
    <t>Finance / Commercial</t>
  </si>
  <si>
    <t>Provide pricing model and explain any user licence options.</t>
  </si>
  <si>
    <t>User-based pricing may be accepted if the licence options are clearly explained.</t>
  </si>
  <si>
    <t>Support bi-directional data exchange between the CRM, Ellucian Colleague and other required systems.</t>
  </si>
  <si>
    <t>The RFP directly requires bi-directional integration.</t>
  </si>
  <si>
    <t>Explain data flows and integration methods.</t>
  </si>
  <si>
    <t>Addendum gives examples of the data that may move between systems.</t>
  </si>
  <si>
    <t>Use real-time or near-real-time API integration where possible.</t>
  </si>
  <si>
    <t>Preferred</t>
  </si>
  <si>
    <t>The RFP says this approach is strongly preferred.</t>
  </si>
  <si>
    <t>Explain available real-time API capabilities.</t>
  </si>
  <si>
    <t>Troy again states a preference for real-time API integration.</t>
  </si>
  <si>
    <t>If batch/SFTP is used, the vendor must host and manage it, monitor it, reconcile data and include the related costs.</t>
  </si>
  <si>
    <t>Only applies if batch or file-based exchange is used.</t>
  </si>
  <si>
    <t>Explain file exchange, monitoring, error handling and costs.</t>
  </si>
  <si>
    <t>Troy confirms the vendor should host and monitor SFTP/file exchange.</t>
  </si>
  <si>
    <t>Maintain all integration points during the contract, including changes caused by upgrades or version changes.</t>
  </si>
  <si>
    <t>The vendor is given ongoing responsibility for integrations.</t>
  </si>
  <si>
    <t>Explain ongoing integration support and maintenance.</t>
  </si>
  <si>
    <t>Addendum confirms the awarded vendor manages integration changes.</t>
  </si>
  <si>
    <t>Create and carry out a structured migration plan for Ellucian Recruit and any other agreed legacy sources.</t>
  </si>
  <si>
    <t>The RFP directly requires a migration plan.</t>
  </si>
  <si>
    <t>Data Team</t>
  </si>
  <si>
    <t>Describe migration approach and source systems.</t>
  </si>
  <si>
    <t>Some migration from other tools may also be needed.</t>
  </si>
  <si>
    <t>Migrate prospect, application, status, communication, document, event and attribution data as required.</t>
  </si>
  <si>
    <t>Mandatory with some scope still open</t>
  </si>
  <si>
    <t>The data types are listed in the RFP, but some historical depth is still undecided.</t>
  </si>
  <si>
    <t>Confirm what data can be migrated and how much history can be included.</t>
  </si>
  <si>
    <t>Historical depth and some communication/document migration details are still being discussed.</t>
  </si>
  <si>
    <t>Include mapping, cleansing, validation, test migrations, cutover and rollback planning.</t>
  </si>
  <si>
    <t>These activities are specifically required in the migration plan.</t>
  </si>
  <si>
    <t>Explain the migration steps and controls.</t>
  </si>
  <si>
    <t>Include migration services in the proposed cost unless Troy approves otherwise in writing.</t>
  </si>
  <si>
    <t>Commercial / Data Migration</t>
  </si>
  <si>
    <t>The RFP says migration should not be treated as an optional extra unless approved.</t>
  </si>
  <si>
    <t>Finance / Data Team</t>
  </si>
  <si>
    <t>Confirm migration pricing is included.</t>
  </si>
  <si>
    <t>Provide identity and account management for applicants, prospects and other external users.</t>
  </si>
  <si>
    <t>The RFP directly requires identity and account lifecycle management.</t>
  </si>
  <si>
    <t>Explain account creation, identity management and access controls.</t>
  </si>
  <si>
    <t>Troy says the vendor must provide and manage the identity solution.</t>
  </si>
  <si>
    <t>Support secure accounts, password controls, sessions, role-based access, FERPA controls, audit logs and optional MFA.</t>
  </si>
  <si>
    <t>Mandatory with optional MFA feature</t>
  </si>
  <si>
    <t>Most controls are required; MFA capability is listed as optional in the base RFP.</t>
  </si>
  <si>
    <t>Describe access controls, audit logging and MFA options.</t>
  </si>
  <si>
    <t>MFA is described as preferred in the addendum.</t>
  </si>
  <si>
    <t>Track prospects through inquiry, application, decision, yield and enrolment stages.</t>
  </si>
  <si>
    <t>Functional / Recruitment</t>
  </si>
  <si>
    <t>This is a core CRM requirement in the Scope.</t>
  </si>
  <si>
    <t>CRM / Recruitment Team</t>
  </si>
  <si>
    <t>Explain lifecycle and pipeline tracking.</t>
  </si>
  <si>
    <t>Support marketing attribution, campaign dashboards, funnel tracking, ROI and cost-per-acquisition reporting.</t>
  </si>
  <si>
    <t>Marketing / Reporting</t>
  </si>
  <si>
    <t>These reporting and attribution functions are listed in the Scope.</t>
  </si>
  <si>
    <t>Marketing / Reporting Team</t>
  </si>
  <si>
    <t>Explain campaign, funnel and ROI reporting.</t>
  </si>
  <si>
    <t>Troy identifies analytics and attribution as current pain points.</t>
  </si>
  <si>
    <t>Support segmentation, lookalike audiences, scoring and multiple lead/origin sources.</t>
  </si>
  <si>
    <t>Marketing</t>
  </si>
  <si>
    <t>These capabilities are directly listed in the Scope.</t>
  </si>
  <si>
    <t>Marketing / CRM Team</t>
  </si>
  <si>
    <t>Explain segmentation, scoring and attribution features.</t>
  </si>
  <si>
    <t>Troy already uses some lead scoring/segmentation approaches.</t>
  </si>
  <si>
    <t>VII. Communication &amp; Engagement</t>
  </si>
  <si>
    <t>Support email and SMS, HTML/branded email, contact preferences and communication management.</t>
  </si>
  <si>
    <t>Communication features are listed as required CRM functions.</t>
  </si>
  <si>
    <t>CRM / Marketing Team</t>
  </si>
  <si>
    <t>Explain email, SMS and communication tools.</t>
  </si>
  <si>
    <t>Email and campaign automation should be native; two-way SMS is welcome but not required.</t>
  </si>
  <si>
    <t>Capture email conversations and keep an auditable communication history, separating recruiter activity from marketing activity.</t>
  </si>
  <si>
    <t>The RFP requires complete and traceable communication records.</t>
  </si>
  <si>
    <t>Explain communication history and audit trail.</t>
  </si>
  <si>
    <t>Use AI or advanced analytics to support communication personalisation.</t>
  </si>
  <si>
    <t>AI / Analytics</t>
  </si>
  <si>
    <t>Mandatory outcome</t>
  </si>
  <si>
    <t>The RFP requires AI or advanced analytics, so AI itself is not the only possible method.</t>
  </si>
  <si>
    <t>CRM / Analytics Team</t>
  </si>
  <si>
    <t>Explain personalisation, AI or advanced analytics features.</t>
  </si>
  <si>
    <t>Troy asks for detailed AI capability information and may evaluate AI features.</t>
  </si>
  <si>
    <t>Support online applications, conditional logic, RFI/forms, secure payments and admissions workflows.</t>
  </si>
  <si>
    <t>Admissions</t>
  </si>
  <si>
    <t>These are directly listed application and admissions requirements.</t>
  </si>
  <si>
    <t>Admissions / CRM Team</t>
  </si>
  <si>
    <t>Explain application, forms, payment and workflow features.</t>
  </si>
  <si>
    <t>Troy confirms multiple application types, conditional logic and application fees.</t>
  </si>
  <si>
    <t>Support catalog year, different start terms and separation of applicants from opportunity/pipeline records.</t>
  </si>
  <si>
    <t>These are specifically listed in the Scope.</t>
  </si>
  <si>
    <t>Explain how these admissions records and terms are managed.</t>
  </si>
  <si>
    <t>Provide fraud-prevention options or explain how fraud prevention can be handled through another integrated tool.</t>
  </si>
  <si>
    <t>Admissions / Security</t>
  </si>
  <si>
    <t>Optional / desirable after addendum</t>
  </si>
  <si>
    <t>The base RFP listed fraud tools, but Addendum 2 says fraud prevention inside the CRM is not required.</t>
  </si>
  <si>
    <t>Admissions / IT Team</t>
  </si>
  <si>
    <t>Explain available fraud controls or integration options.</t>
  </si>
  <si>
    <t>Do not treat built-in fraud prevention as a strict mandatory requirement.</t>
  </si>
  <si>
    <t>Provide event management and recruiter travel tracking.</t>
  </si>
  <si>
    <t>Events / Outreach</t>
  </si>
  <si>
    <t>Both modules are directly required in the Scope.</t>
  </si>
  <si>
    <t>Explain event registration, attendance, communications and travel tracking.</t>
  </si>
  <si>
    <t>Troy mentions tours/events, surveys and mobile check-in.</t>
  </si>
  <si>
    <t>Provide analytics, reporting, data visualisation and shareable reports.</t>
  </si>
  <si>
    <t>Reporting / Analytics</t>
  </si>
  <si>
    <t>Reporting and analytics are required in the Scope.</t>
  </si>
  <si>
    <t>Reporting Team</t>
  </si>
  <si>
    <t>Explain dashboards, reports and sharing options.</t>
  </si>
  <si>
    <t>Vendor must provide and manage its own reporting environment.</t>
  </si>
  <si>
    <t>Support third-party data imports and integrations through API, SFTP and web services.</t>
  </si>
  <si>
    <t>These integration methods are directly listed.</t>
  </si>
  <si>
    <t>Explain supported integration methods and tools.</t>
  </si>
  <si>
    <t>Troy will not provide a separate data warehouse/reporting environment for this project.</t>
  </si>
  <si>
    <t>Provide real-time or near-real-time visibility of student status changes and key onboarding milestones.</t>
  </si>
  <si>
    <t>Reporting / Integration</t>
  </si>
  <si>
    <t>The RFP directly requires status and onboarding visibility.</t>
  </si>
  <si>
    <t>Integration / Reporting Team</t>
  </si>
  <si>
    <t>Explain how student status and onboarding data will be updated and shown.</t>
  </si>
  <si>
    <t>Troy welcomes real-time updates for areas such as financial aid, housing and transcripts.</t>
  </si>
  <si>
    <t>Do not automatically merge or suppress possible duplicate records before Troy reviews them.</t>
  </si>
  <si>
    <t>The RFP specifically prevents automatic duplicate handling before review.</t>
  </si>
  <si>
    <t>Explain duplicate detection and review controls.</t>
  </si>
  <si>
    <t>Troy already has duplicate-management policies and procedures.</t>
  </si>
  <si>
    <t>State uptime, maintenance windows, response/resolution times, escalation, RTO and RPO.</t>
  </si>
  <si>
    <t>SLA / Support</t>
  </si>
  <si>
    <t>The proposal must provide these service-level details.</t>
  </si>
  <si>
    <t>Support Team</t>
  </si>
  <si>
    <t>Provide proposed SLA and recovery targets.</t>
  </si>
  <si>
    <t>Provide documented SLAs and explain disaster recovery/business continuity, including testing.</t>
  </si>
  <si>
    <t>SLA / Security</t>
  </si>
  <si>
    <t>The RFP directly requires SLAs and disaster-recovery evidence.</t>
  </si>
  <si>
    <t>Support / IT Security</t>
  </si>
  <si>
    <t>Provide SLA, DR/BCP approach and testing evidence.</t>
  </si>
  <si>
    <t>Provide an implementation plan with phases, timing, roles, testing, training and post-implementation support.</t>
  </si>
  <si>
    <t>A detailed implementation plan is directly required.</t>
  </si>
  <si>
    <t>Provide implementation plan and training/support approach.</t>
  </si>
  <si>
    <t>No fixed go-live date is given; Troy wants a mix of expert-led and self-study training.</t>
  </si>
  <si>
    <t>State assumptions about Troy resources and any dependencies that may affect the timeline.</t>
  </si>
  <si>
    <t>The RFP directly asks for assumptions and dependencies.</t>
  </si>
  <si>
    <t>List vendor assumptions, Troy inputs and project dependencies.</t>
  </si>
  <si>
    <t>Troy expects EM, Marketing and IT involvement, mostly part-time.</t>
  </si>
  <si>
    <t>Troy keeps ownership of its data and the vendor cannot use or disclose it outside the contract purpose.</t>
  </si>
  <si>
    <t>Data Governance / Legal</t>
  </si>
  <si>
    <t>The RFP clearly states Troy's data ownership and use restrictions.</t>
  </si>
  <si>
    <t>Legal / IT Security</t>
  </si>
  <si>
    <t>Explain data ownership, access and use controls.</t>
  </si>
  <si>
    <t>Addendum reinforces data governance and ownership expectations.</t>
  </si>
  <si>
    <t>Do not use Troy data to train external AI/ML models without written permission.</t>
  </si>
  <si>
    <t>AI / Data Governance</t>
  </si>
  <si>
    <t>The RFP specifically restricts AI/ML training use.</t>
  </si>
  <si>
    <t>IT Security / Legal</t>
  </si>
  <si>
    <t>Explain AI data-use controls.</t>
  </si>
  <si>
    <t>The addendum gives more detail on AI governance and security expectations.</t>
  </si>
  <si>
    <t>At contract end, export Troy data, provide supporting data documentation, securely delete remaining copies and support transition.</t>
  </si>
  <si>
    <t>Data Governance / Exit</t>
  </si>
  <si>
    <t>These exit actions are directly required.</t>
  </si>
  <si>
    <t>Technical / Legal Team</t>
  </si>
  <si>
    <t>Explain data export, deletion and transition process.</t>
  </si>
  <si>
    <t>Provide and manage the reporting tool and reporting environment used for this project.</t>
  </si>
  <si>
    <t>Troy says its existing Power BI/Tableau environment will not be available for this project.</t>
  </si>
  <si>
    <t>Describe the reporting platform/environment included in the solution.</t>
  </si>
  <si>
    <t>This was made clear in the Q&amp;A.</t>
  </si>
  <si>
    <t>VII / XIII. AI &amp; Data Governance</t>
  </si>
  <si>
    <t>Identify all AI features and explain the data sources, processing methods and safeguards used.</t>
  </si>
  <si>
    <t>Addendum 2 pp.24, 34</t>
  </si>
  <si>
    <t>The addendum directly asks vendors to disclose this information.</t>
  </si>
  <si>
    <t>IT Security / Technical Team</t>
  </si>
  <si>
    <t>Provide AI feature and safeguard details.</t>
  </si>
  <si>
    <t>Keep AI claims evidence-based.</t>
  </si>
  <si>
    <t>Explain where Troy data will be stored, processed and backed up, including any subcontractors or cloud providers.</t>
  </si>
  <si>
    <t>The addendum directly asks for data residency and hosting information.</t>
  </si>
  <si>
    <t>IT Security</t>
  </si>
  <si>
    <t>Provide data location, hosting and subprocessor details.</t>
  </si>
  <si>
    <t>US hosting should be prioritised unless Troy approves otherwise.</t>
  </si>
  <si>
    <t>Confirm that the solution does not rely on technologies restricted under applicable federal guidance.</t>
  </si>
  <si>
    <t>The addendum specifically requires this certification.</t>
  </si>
  <si>
    <t>Provide compliance confirmation.</t>
  </si>
  <si>
    <t>Relates to federal supply-chain restrictions.</t>
  </si>
  <si>
    <t xml:space="preserve">Source Register </t>
  </si>
  <si>
    <t>Base RFP – Troy University RFP #26-004 CRM Software</t>
  </si>
  <si>
    <t>Main source for scope, proposal format, evaluation and bid requirements.</t>
  </si>
  <si>
    <t>This is the original RFP and the starting point for the analysis.</t>
  </si>
  <si>
    <t>Addendum No. 1</t>
  </si>
  <si>
    <t>Checked for changes to key dates.</t>
  </si>
  <si>
    <t>Changed the proposal deadline to 7 April 2026 at 2:00 PM CST.</t>
  </si>
  <si>
    <t>Addendum No. 2 – Q&amp;A</t>
  </si>
  <si>
    <t>Used to clarify requirements, submission details, pricing, integrations, migration and security.</t>
  </si>
  <si>
    <t>Some requirements were clarified, modified or expanded.</t>
  </si>
  <si>
    <t>What I used it for</t>
  </si>
  <si>
    <t>Main update / importance</t>
  </si>
  <si>
    <t>Official source</t>
  </si>
  <si>
    <t>Summary</t>
  </si>
  <si>
    <t>Item</t>
  </si>
  <si>
    <t>Details</t>
  </si>
  <si>
    <t>Project</t>
  </si>
  <si>
    <t>RFP Compliance &amp; Response Readiness Case Study</t>
  </si>
  <si>
    <t>RFP analysed</t>
  </si>
  <si>
    <t>Troy University RFP #26-004 – CRM Software</t>
  </si>
  <si>
    <t>Type of project</t>
  </si>
  <si>
    <t>Independent portfolio / learning project</t>
  </si>
  <si>
    <t>Main purpose</t>
  </si>
  <si>
    <t>To understand a real RFP and organise the requirements, submission items, risks and response work in a structured way.</t>
  </si>
  <si>
    <t>Documents reviewed</t>
  </si>
  <si>
    <t>Base RFP, Addendum No. 1 and Addendum No. 2</t>
  </si>
  <si>
    <t>Requirements recorded</t>
  </si>
  <si>
    <t>Main workbook sections</t>
  </si>
  <si>
    <t>Compliance Matrix, Source Register, Summary, Submission Checklist, Risk &amp; Clarification Log, Response Plan</t>
  </si>
  <si>
    <t>Evaluation weighting</t>
  </si>
  <si>
    <t>15 points – company experience/references; 55 points – operation plan/ease of use/services; 30 points – fees</t>
  </si>
  <si>
    <t>Main open areas</t>
  </si>
  <si>
    <t>Go-live date, historical migration depth, and some decisions about which existing tools will be replaced or integrated.</t>
  </si>
  <si>
    <t>How unknown information was handled</t>
  </si>
  <si>
    <t>Vendor-specific information was marked as 'Vendor input needed' instead of being assumed.</t>
  </si>
  <si>
    <t>Important note</t>
  </si>
  <si>
    <t>This is not a real submitted proposal and no vendor capabilities, pricing or certifications were invented.</t>
  </si>
  <si>
    <t>Submission Item</t>
  </si>
  <si>
    <t>Source/Page</t>
  </si>
  <si>
    <t>Required?</t>
  </si>
  <si>
    <t>When Needed</t>
  </si>
  <si>
    <t>Likely Owner</t>
  </si>
  <si>
    <t>Signed Troy University cover sheet</t>
  </si>
  <si>
    <t>Proposal Team</t>
  </si>
  <si>
    <t>Identified</t>
  </si>
  <si>
    <t>Must be signed by an authorised company representative.</t>
  </si>
  <si>
    <t>Complete bid response following the RFP structure</t>
  </si>
  <si>
    <t>The proposal should follow the required sections and instructions.</t>
  </si>
  <si>
    <t>Finance / Admin</t>
  </si>
  <si>
    <t>Official bid checklist item.</t>
  </si>
  <si>
    <t>Addendum 2 says Full v4 is accepted instead of Lite.</t>
  </si>
  <si>
    <t>Legal / Admin</t>
  </si>
  <si>
    <t>Troy will accept it after award, but before the contract is finalised.</t>
  </si>
  <si>
    <t>HR / Legal</t>
  </si>
  <si>
    <t>Finance / Legal</t>
  </si>
  <si>
    <t>Post-award</t>
  </si>
  <si>
    <t>Not required with the initial bid.</t>
  </si>
  <si>
    <t>Copies/acknowledgement of RFP addenda</t>
  </si>
  <si>
    <t>Addenda should be acknowledged/included.</t>
  </si>
  <si>
    <t>Equal Opportunity Employment commitment</t>
  </si>
  <si>
    <t>Required for consideration.</t>
  </si>
  <si>
    <t>Compliance / Product Team</t>
  </si>
  <si>
    <t>Vendor must certify compliance.</t>
  </si>
  <si>
    <t>Proposed service agreement</t>
  </si>
  <si>
    <t>Part of the proposed contract package.</t>
  </si>
  <si>
    <t>Two hard copies; one with original wet-ink signed documents</t>
  </si>
  <si>
    <t>Addendum 2 confirms the number of copies.</t>
  </si>
  <si>
    <t>Requested/appreciated, but not mandatory.</t>
  </si>
  <si>
    <t>Company profile and at least three higher-education references</t>
  </si>
  <si>
    <t>Proposal Team / Management</t>
  </si>
  <si>
    <t>Section A.</t>
  </si>
  <si>
    <t>Detailed response to every Scope of Services point</t>
  </si>
  <si>
    <t>Proposal Team + relevant teams</t>
  </si>
  <si>
    <t>Each Scope point should be addressed in Section B.</t>
  </si>
  <si>
    <t>Section C.</t>
  </si>
  <si>
    <t>Hosting and disaster-recovery information</t>
  </si>
  <si>
    <t>Section D.</t>
  </si>
  <si>
    <t>Scalability approach and related costs</t>
  </si>
  <si>
    <t>Technical / Commercial</t>
  </si>
  <si>
    <t>Section E.</t>
  </si>
  <si>
    <t>Implementation plan, timeline and training approach</t>
  </si>
  <si>
    <t>Section F.</t>
  </si>
  <si>
    <t>IT / Compliance</t>
  </si>
  <si>
    <t>Section G.</t>
  </si>
  <si>
    <t>Section H.</t>
  </si>
  <si>
    <t>SUB-22</t>
  </si>
  <si>
    <t>List any exceptions to the RFP</t>
  </si>
  <si>
    <t>Yes, if applicable</t>
  </si>
  <si>
    <t>Proposal Team / Legal</t>
  </si>
  <si>
    <t>Section I says exceptions should be referenced by subsection.</t>
  </si>
  <si>
    <t>SUB-23</t>
  </si>
  <si>
    <t>Clearly mark any proprietary/confidential information</t>
  </si>
  <si>
    <t>If applicable</t>
  </si>
  <si>
    <t>Net cost information is not treated as confidential.</t>
  </si>
  <si>
    <t>SUB-24</t>
  </si>
  <si>
    <t>Deliver proposal package to Troy University Purchasing by the revised deadline</t>
  </si>
  <si>
    <t>Base RFP p.7; Addendum 1</t>
  </si>
  <si>
    <t>By 7 April 2026, 2:00 PM CST</t>
  </si>
  <si>
    <t>Physical delivery is required.</t>
  </si>
  <si>
    <t>SUB-25</t>
  </si>
  <si>
    <t>Mark the outside of the proposal package with the RFP number and company details</t>
  </si>
  <si>
    <t>Base RFP p.7</t>
  </si>
  <si>
    <t>Helps make sure the package is correctly identified.</t>
  </si>
  <si>
    <t>Risk &amp; Clarification Log</t>
  </si>
  <si>
    <t>Issue / Uncertainty</t>
  </si>
  <si>
    <t>Why It Matters</t>
  </si>
  <si>
    <t>What Needs to Happen</t>
  </si>
  <si>
    <t>No fixed go-live date</t>
  </si>
  <si>
    <t>Addendum 2 pp.9, 25, 33</t>
  </si>
  <si>
    <t>The final implementation timeline cannot be confirmed yet.</t>
  </si>
  <si>
    <t>Confirm the target go-live date before finalising the implementation plan.</t>
  </si>
  <si>
    <t>It is not fully decided which current tools will be replaced and which will stay integrated</t>
  </si>
  <si>
    <t>Addendum 2 pp.2, 26, 32</t>
  </si>
  <si>
    <t>This can change the solution design, integrations and pricing.</t>
  </si>
  <si>
    <t>Confirm the final replace-vs-integrate scope.</t>
  </si>
  <si>
    <t>Historical migration depth is still not fully decided</t>
  </si>
  <si>
    <t>Addendum 2 pp.6, 29, 32</t>
  </si>
  <si>
    <t>More historical data can increase migration time and effort.</t>
  </si>
  <si>
    <t>Confirm how many years/records need to be migrated.</t>
  </si>
  <si>
    <t>Some existing data may have quality problems</t>
  </si>
  <si>
    <t>Addendum 2 p.7</t>
  </si>
  <si>
    <t>Poor-quality data can make migration and validation harder.</t>
  </si>
  <si>
    <t>Check data quality and cleansing needs before migration.</t>
  </si>
  <si>
    <t>The length of the legacy-system parallel run is not clearly defined</t>
  </si>
  <si>
    <t>A long overlap can affect transition planning and support.</t>
  </si>
  <si>
    <t>Confirm the expected transition/parallel-run period.</t>
  </si>
  <si>
    <t>Some AI governance details will be discussed during contract negotiations</t>
  </si>
  <si>
    <t>Addendum 2 pp.11, 34–35</t>
  </si>
  <si>
    <t>The vendor may need to adjust AI features or controls later.</t>
  </si>
  <si>
    <t>Review Troy's AI governance requirements before contract finalisation.</t>
  </si>
  <si>
    <t>The base RFP lists fraud-prevention tools, but Addendum 2 says built-in fraud prevention is not required</t>
  </si>
  <si>
    <t>Using only the base RFP could lead to the wrong classification.</t>
  </si>
  <si>
    <t>Use the addendum clarification and treat built-in fraud prevention as optional/desirable.</t>
  </si>
  <si>
    <t>Ongoing integration responsibility needed clarification</t>
  </si>
  <si>
    <t>Base RFP p.12; Addendum 2 p.6</t>
  </si>
  <si>
    <t>It affects long-term support effort and cost.</t>
  </si>
  <si>
    <t>Record that the awarded vendor is responsible for maintaining the proposed integrations.</t>
  </si>
  <si>
    <t>RISK-09</t>
  </si>
  <si>
    <t>Troy's budget for the project is still being discussed</t>
  </si>
  <si>
    <t>Addendum 2 p.28</t>
  </si>
  <si>
    <t>There is no confirmed budget ceiling to guide pricing.</t>
  </si>
  <si>
    <t>Prepare pricing based on scope and clearly state assumptions rather than guessing a budget.</t>
  </si>
  <si>
    <t>Response Plan</t>
  </si>
  <si>
    <t>Work Area</t>
  </si>
  <si>
    <t>What Needs to Be Done</t>
  </si>
  <si>
    <t>Input Needed</t>
  </si>
  <si>
    <t>RFP Review</t>
  </si>
  <si>
    <t>Review the base RFP and both addenda and confirm the latest requirements.</t>
  </si>
  <si>
    <t>Complete source documents</t>
  </si>
  <si>
    <t>Compliance Check</t>
  </si>
  <si>
    <t>Check each Scope requirement and note what vendor information would be needed to answer it.</t>
  </si>
  <si>
    <t>Completed for case study</t>
  </si>
  <si>
    <t>System Response</t>
  </si>
  <si>
    <t>Prepare Section B answers for each Scope requirement in a real bid.</t>
  </si>
  <si>
    <t>Technical / Business Teams</t>
  </si>
  <si>
    <t>Vendor product and service information</t>
  </si>
  <si>
    <t>Prepare HECVAT, hosting, security, data governance and disaster-recovery information.</t>
  </si>
  <si>
    <t>Vendor security documents and hosting details</t>
  </si>
  <si>
    <t>Prepare the implementation approach, timeline, testing, training and dependencies.</t>
  </si>
  <si>
    <t>Vendor implementation approach and Troy inputs</t>
  </si>
  <si>
    <t>Prepare the company profile and higher-education references.</t>
  </si>
  <si>
    <t>Prepare complete pricing and make sure migration/integration costs are covered.</t>
  </si>
  <si>
    <t>Final technical scope and pricing model</t>
  </si>
  <si>
    <t>Final Submission Check</t>
  </si>
  <si>
    <t>Check forms, signatures, addenda, hard copies and all other submission items before delivery.</t>
  </si>
  <si>
    <t>Completed proposal and Submission Checklist</t>
  </si>
  <si>
    <t>Not applicable to case 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</si>
</sst>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4"/>
      <color theme="1"/>
      <name val="Carlito"/>
    </font>
    <font>
      <b/>
      <sz val="11"/>
      <color rgb="FF274E13"/>
      <name val="Carlito"/>
    </font>
    <font>
      <b/>
      <sz val="14"/>
      <name val="Carlito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DDEB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1" fillId="4" borderId="0" xfId="0" applyFont="1" applyFill="1" applyAlignment="1">
      <alignment wrapText="1"/>
    </xf>
    <xf numFmtId="0" fontId="3" fillId="3" borderId="0" xfId="0" applyFont="1" applyFill="1"/>
    <xf numFmtId="0" fontId="3" fillId="4" borderId="0" xfId="0" applyFont="1" applyFill="1"/>
    <xf numFmtId="0" fontId="1" fillId="2" borderId="0" xfId="0" applyFont="1" applyFill="1" applyAlignment="1">
      <alignment vertical="center" wrapText="1"/>
    </xf>
    <xf numFmtId="0" fontId="5" fillId="6" borderId="0" xfId="0" applyFont="1" applyFill="1" applyAlignment="1">
      <alignment vertical="center"/>
    </xf>
    <xf numFmtId="0" fontId="1" fillId="0" borderId="0" xfId="0" applyFont="1"/>
    <xf numFmtId="0" fontId="5" fillId="0" borderId="0" xfId="0" applyFont="1" applyAlignment="1">
      <alignment vertic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5" fillId="3" borderId="0" xfId="0" applyFont="1" applyFill="1" applyAlignment="1">
      <alignment vertical="center"/>
    </xf>
    <xf numFmtId="0" fontId="1" fillId="5" borderId="0" xfId="0" applyFont="1" applyFill="1" applyAlignment="1">
      <alignment vertical="top" wrapText="1"/>
    </xf>
    <xf numFmtId="0" fontId="4" fillId="0" borderId="0" xfId="0" applyFont="1"/>
    <xf numFmtId="0" fontId="1" fillId="2" borderId="0" xfId="0" applyFont="1" applyFill="1" applyAlignment="1">
      <alignment vertical="top" wrapText="1"/>
    </xf>
    <xf numFmtId="0" fontId="1" fillId="5" borderId="0" xfId="0" applyFont="1" applyFill="1" applyAlignment="1">
      <alignment vertical="center" wrapText="1"/>
    </xf>
  </cellXfs>
  <cellStyles count="1">
    <cellStyle name="Normal" xfId="0" builtinId="0"/>
  </cellStyles>
  <dxfs count="56">
    <dxf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CE5CD"/>
        </patternFill>
      </fill>
    </dxf>
    <dxf>
      <fill>
        <patternFill patternType="solid">
          <bgColor rgb="FFFFF2CC"/>
        </patternFill>
      </fill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theme="6" tint="-0.249977111117893"/>
        </patternFill>
      </fill>
      <alignment horizontal="general" vertical="center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theme="6" tint="-0.249977111117893"/>
        </patternFill>
      </fill>
      <alignment horizontal="general" vertical="center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theme="6" tint="-0.249977111117893"/>
        </patternFill>
      </fill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theme="9" tint="-0.499984740745262"/>
        </patternFill>
      </fill>
      <alignment horizontal="general" vertical="center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ill>
        <patternFill patternType="solid">
          <fgColor indexed="64"/>
          <bgColor theme="9" tint="-0.499984740745262"/>
        </patternFill>
      </fill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theme="9" tint="-0.499984740745262"/>
        </patternFill>
      </fill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121920</xdr:rowOff>
    </xdr:from>
    <xdr:to>
      <xdr:col>2</xdr:col>
      <xdr:colOff>114300</xdr:colOff>
      <xdr:row>7</xdr:row>
      <xdr:rowOff>15240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A72240-01E6-C389-791A-0E2FED307887}"/>
            </a:ext>
          </a:extLst>
        </xdr:cNvPr>
        <xdr:cNvSpPr txBox="1"/>
      </xdr:nvSpPr>
      <xdr:spPr>
        <a:xfrm>
          <a:off x="0" y="853440"/>
          <a:ext cx="2872740" cy="44196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400" b="1">
              <a:latin typeface="Avenir Next LT Pro Demi" panose="020B0704020202020204" pitchFamily="34" charset="0"/>
            </a:rPr>
            <a:t>Compliance Matrix 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CB40BA-E77F-43A0-A660-7CB569678A48}" name="ComplianceMatrixTable" displayName="ComplianceMatrixTable" ref="A9:L54" totalsRowShown="0" headerRowDxfId="45" dataDxfId="44">
  <tableColumns count="12">
    <tableColumn id="1" xr3:uid="{D54EEAD8-F286-426F-ABE5-F95DF26BDEDD}" name="ID" dataDxfId="43"/>
    <tableColumn id="2" xr3:uid="{EDA91F5A-7415-41F4-9961-01C41336F970}" name="Section" dataDxfId="42"/>
    <tableColumn id="3" xr3:uid="{F0E31120-3E4C-423A-B729-2537D8047505}" name="Requirement" dataDxfId="41"/>
    <tableColumn id="4" xr3:uid="{D7E22765-4EF9-4F63-835D-00200304F34E}" name="Source / Page" dataDxfId="40"/>
    <tableColumn id="5" xr3:uid="{16DD66C1-014A-4EF0-BBA1-8D6FEF312739}" name="Category" dataDxfId="39"/>
    <tableColumn id="6" xr3:uid="{AED9318A-A245-430A-B89C-D8095C9953CE}" name="Obligation Level" dataDxfId="38"/>
    <tableColumn id="7" xr3:uid="{C1038BA0-6BCC-45DC-BF16-6444A02F3F7D}" name="Classification Rationale" dataDxfId="37"/>
    <tableColumn id="8" xr3:uid="{74FBD5B1-5CD0-4451-AD3E-1292744374DB}" name="Proposed Owner" dataDxfId="36"/>
    <tableColumn id="9" xr3:uid="{933D4985-E298-4AC3-BC38-F822CF5C43F3}" name="Evidence / Response Needed" dataDxfId="35"/>
    <tableColumn id="10" xr3:uid="{B93AC967-FE64-40B0-9970-EEC64A251D0A}" name="Readiness Status" dataDxfId="34"/>
    <tableColumn id="11" xr3:uid="{FF135D2B-1A97-48E2-9CC8-340E5EF33AAC}" name="Addendum Impact" dataDxfId="33"/>
    <tableColumn id="12" xr3:uid="{30A6A88E-CB06-41DC-95D6-8FA65B9338F7}" name="Notes / Risk" dataDxfId="32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D542FB-094B-48ED-A7E2-BAA8F7D6796C}" name="Table2" displayName="Table2" ref="A3:D6" totalsRowShown="0" headerRowDxfId="31" dataDxfId="30">
  <autoFilter ref="A3:D6" xr:uid="{A4D542FB-094B-48ED-A7E2-BAA8F7D6796C}"/>
  <tableColumns count="4">
    <tableColumn id="1" xr3:uid="{63DCC7D5-D3B6-4EFF-BD12-86EF53064FDB}" name="Document" dataDxfId="29"/>
    <tableColumn id="2" xr3:uid="{A9D9614C-6944-4637-9841-64B77C10F3F8}" name="What I used it for" dataDxfId="28"/>
    <tableColumn id="3" xr3:uid="{E881AAE0-BBFA-41F0-8B8D-8F63457F1D9A}" name="Main update / importance" dataDxfId="27"/>
    <tableColumn id="4" xr3:uid="{0193D682-67C5-4908-8366-50ACB3E4E513}" name="Official source" dataDxfId="26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4C32049-2EC5-41B4-A0EC-940F2ACD6C21}" name="Table7" displayName="Table7" ref="A2:B13" totalsRowShown="0" headerRowDxfId="25" dataDxfId="24">
  <autoFilter ref="A2:B13" xr:uid="{B4C32049-2EC5-41B4-A0EC-940F2ACD6C21}"/>
  <tableColumns count="2">
    <tableColumn id="1" xr3:uid="{6B2246E3-0194-423D-AE30-BF27E170AB3C}" name="Item" dataDxfId="23"/>
    <tableColumn id="2" xr3:uid="{41914C4E-4943-4910-A87E-851B0F7A5DF1}" name="Details" dataDxfId="22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F243F5-B0D8-4970-A78B-0A00E74A9C13}" name="Table3" displayName="Table3" ref="A1:H26" totalsRowShown="0" headerRowDxfId="55" dataDxfId="54">
  <autoFilter ref="A1:H26" xr:uid="{88F243F5-B0D8-4970-A78B-0A00E74A9C13}"/>
  <tableColumns count="8">
    <tableColumn id="1" xr3:uid="{65AA9663-F6D3-4BE8-B3B3-E663C686BCFB}" name="ID" dataDxfId="53"/>
    <tableColumn id="2" xr3:uid="{AC066513-F9DD-4434-81EA-341EE736AFDB}" name="Submission Item" dataDxfId="52"/>
    <tableColumn id="3" xr3:uid="{55AFCD0B-8AE4-4756-A824-76E0725663F2}" name="Source/Page" dataDxfId="51"/>
    <tableColumn id="4" xr3:uid="{383A383E-B724-4FD5-ACA1-EE257873A47E}" name="Required?" dataDxfId="50"/>
    <tableColumn id="5" xr3:uid="{910029B6-F6C7-48CD-831A-EB7236C1DFA2}" name="When Needed" dataDxfId="49"/>
    <tableColumn id="6" xr3:uid="{E9EE0E18-9B8D-445B-9B5B-B9846C41740C}" name="Likely Owner" dataDxfId="48"/>
    <tableColumn id="7" xr3:uid="{5FE59658-983C-4F8F-A785-F76EDFC1214E}" name="Status" dataDxfId="47"/>
    <tableColumn id="8" xr3:uid="{F9C2D478-0D00-4DEF-833B-06E81115438B}" name="Notes" dataDxfId="46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78350C7-EB01-4ED6-A9A1-2C1846960751}" name="Table8" displayName="Table8" ref="A2:G11" totalsRowShown="0" headerRowDxfId="21" dataDxfId="20">
  <autoFilter ref="A2:G11" xr:uid="{E78350C7-EB01-4ED6-A9A1-2C1846960751}"/>
  <tableColumns count="7">
    <tableColumn id="1" xr3:uid="{CCEC106A-1966-43A8-A6F5-4998FAF2BB9E}" name="ID" dataDxfId="19"/>
    <tableColumn id="2" xr3:uid="{34847942-F333-4201-A8E4-A7965FCC7AD6}" name="Issue / Uncertainty" dataDxfId="18"/>
    <tableColumn id="3" xr3:uid="{6F79FFDD-E542-4F00-9C48-B5F99DB1F4EB}" name="Source/Page" dataDxfId="17"/>
    <tableColumn id="4" xr3:uid="{242E6BEF-703E-4A1F-8E50-4245E876B4B1}" name="Why It Matters" dataDxfId="16"/>
    <tableColumn id="5" xr3:uid="{A7C1DA0D-BA0E-4907-BAB8-4ADDD11D071D}" name="Impact" dataDxfId="15"/>
    <tableColumn id="6" xr3:uid="{180884F5-210A-4AF5-8A47-B8C3C90CA7A5}" name="What Needs to Happen" dataDxfId="14"/>
    <tableColumn id="7" xr3:uid="{583A2564-A73E-49B3-9261-850426E9AE38}" name="Status" dataDxfId="13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3A4ABA6-402D-461A-97A4-18704962225A}" name="Table9" displayName="Table9" ref="A2:G10" totalsRowShown="0" headerRowDxfId="12" dataDxfId="11">
  <autoFilter ref="A2:G10" xr:uid="{43A4ABA6-402D-461A-97A4-18704962225A}"/>
  <tableColumns count="7">
    <tableColumn id="1" xr3:uid="{06189E25-F4D6-4BFC-98D2-D4FE099987F3}" name="ID" dataDxfId="10"/>
    <tableColumn id="2" xr3:uid="{836E2C00-E510-48DB-A0D3-3DC7A2A9A278}" name="Work Area" dataDxfId="9"/>
    <tableColumn id="3" xr3:uid="{D531018E-116C-4D40-A075-9B452E52027B}" name="What Needs to Be Done" dataDxfId="8"/>
    <tableColumn id="4" xr3:uid="{C47A342E-D696-4CB4-A988-530A9D4BD48E}" name="Priority" dataDxfId="7"/>
    <tableColumn id="5" xr3:uid="{F2FFDEC7-A506-4A1A-A1CD-CCD0022DE437}" name="Likely Owner" dataDxfId="6"/>
    <tableColumn id="6" xr3:uid="{E509E876-1D7F-42CF-8FB3-ACAE10F6C6D2}" name="Input Needed" dataDxfId="5"/>
    <tableColumn id="7" xr3:uid="{21157625-8A03-44D6-9D56-1E6E9B0582C7}" name="Status" dataDxfId="4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ECB72-7DB1-4B89-9DD6-D474BF8D5C76}">
  <dimension ref="A9:L54"/>
  <sheetViews>
    <sheetView topLeftCell="A5" workbookViewId="0">
      <selection activeCell="J8" sqref="J8"/>
    </sheetView>
  </sheetViews>
  <sheetFormatPr defaultRowHeight="14.4"/>
  <cols>
    <col min="2" max="2" width="31.33203125" customWidth="1"/>
    <col min="3" max="3" width="38.88671875" customWidth="1"/>
    <col min="4" max="4" width="18.33203125" customWidth="1"/>
    <col min="5" max="5" width="19.33203125" customWidth="1"/>
    <col min="6" max="6" width="20.77734375" customWidth="1"/>
    <col min="7" max="7" width="32.44140625" customWidth="1"/>
    <col min="8" max="8" width="19.109375" customWidth="1"/>
    <col min="9" max="9" width="37.33203125" customWidth="1"/>
    <col min="10" max="10" width="19" customWidth="1"/>
    <col min="11" max="11" width="18.21875" customWidth="1"/>
    <col min="12" max="12" width="27" customWidth="1"/>
  </cols>
  <sheetData>
    <row r="9" spans="1:12" ht="20.399999999999999" customHeight="1">
      <c r="A9" s="2" t="s">
        <v>0</v>
      </c>
      <c r="B9" s="2" t="s">
        <v>1</v>
      </c>
      <c r="C9" s="2" t="s">
        <v>2</v>
      </c>
      <c r="D9" s="2" t="s">
        <v>3</v>
      </c>
      <c r="E9" s="2" t="s">
        <v>4</v>
      </c>
      <c r="F9" s="2" t="s">
        <v>5</v>
      </c>
      <c r="G9" s="2" t="s">
        <v>6</v>
      </c>
      <c r="H9" s="2" t="s">
        <v>7</v>
      </c>
      <c r="I9" s="2" t="s">
        <v>8</v>
      </c>
      <c r="J9" s="2" t="s">
        <v>9</v>
      </c>
      <c r="K9" s="2" t="s">
        <v>10</v>
      </c>
      <c r="L9" s="2" t="s">
        <v>11</v>
      </c>
    </row>
    <row r="10" spans="1:12" ht="43.2">
      <c r="A10" s="1" t="s">
        <v>12</v>
      </c>
      <c r="B10" s="1" t="s">
        <v>13</v>
      </c>
      <c r="C10" s="1" t="s">
        <v>184</v>
      </c>
      <c r="D10" s="1" t="s">
        <v>14</v>
      </c>
      <c r="E10" s="1" t="s">
        <v>185</v>
      </c>
      <c r="F10" s="1" t="s">
        <v>15</v>
      </c>
      <c r="G10" s="1" t="s">
        <v>186</v>
      </c>
      <c r="H10" s="1" t="s">
        <v>187</v>
      </c>
      <c r="I10" s="1" t="s">
        <v>188</v>
      </c>
      <c r="J10" s="1" t="s">
        <v>189</v>
      </c>
      <c r="K10" s="1" t="s">
        <v>26</v>
      </c>
      <c r="L10" s="1" t="s">
        <v>190</v>
      </c>
    </row>
    <row r="11" spans="1:12" ht="28.8">
      <c r="A11" s="1" t="s">
        <v>16</v>
      </c>
      <c r="B11" s="1" t="s">
        <v>13</v>
      </c>
      <c r="C11" s="1" t="s">
        <v>191</v>
      </c>
      <c r="D11" s="1" t="s">
        <v>14</v>
      </c>
      <c r="E11" s="1" t="s">
        <v>185</v>
      </c>
      <c r="F11" s="1" t="s">
        <v>15</v>
      </c>
      <c r="G11" s="1" t="s">
        <v>192</v>
      </c>
      <c r="H11" s="1" t="s">
        <v>187</v>
      </c>
      <c r="I11" s="1" t="s">
        <v>193</v>
      </c>
      <c r="J11" s="1" t="s">
        <v>189</v>
      </c>
      <c r="K11" s="1" t="s">
        <v>26</v>
      </c>
      <c r="L11" s="1" t="s">
        <v>194</v>
      </c>
    </row>
    <row r="12" spans="1:12" ht="43.2">
      <c r="A12" s="1" t="s">
        <v>17</v>
      </c>
      <c r="B12" s="1" t="s">
        <v>13</v>
      </c>
      <c r="C12" s="1" t="s">
        <v>195</v>
      </c>
      <c r="D12" s="1" t="s">
        <v>18</v>
      </c>
      <c r="E12" s="1" t="s">
        <v>196</v>
      </c>
      <c r="F12" s="1" t="s">
        <v>197</v>
      </c>
      <c r="G12" s="1" t="s">
        <v>198</v>
      </c>
      <c r="H12" s="1" t="s">
        <v>187</v>
      </c>
      <c r="I12" s="1" t="s">
        <v>199</v>
      </c>
      <c r="J12" s="1" t="s">
        <v>189</v>
      </c>
      <c r="K12" s="1" t="s">
        <v>200</v>
      </c>
      <c r="L12" s="1"/>
    </row>
    <row r="13" spans="1:12" ht="43.2">
      <c r="A13" s="1" t="s">
        <v>19</v>
      </c>
      <c r="B13" s="1" t="s">
        <v>13</v>
      </c>
      <c r="C13" s="1" t="s">
        <v>201</v>
      </c>
      <c r="D13" s="1" t="s">
        <v>20</v>
      </c>
      <c r="E13" s="1" t="s">
        <v>196</v>
      </c>
      <c r="F13" s="1" t="s">
        <v>197</v>
      </c>
      <c r="G13" s="1" t="s">
        <v>202</v>
      </c>
      <c r="H13" s="1" t="s">
        <v>187</v>
      </c>
      <c r="I13" s="1" t="s">
        <v>203</v>
      </c>
      <c r="J13" s="1" t="s">
        <v>189</v>
      </c>
      <c r="K13" s="1" t="s">
        <v>200</v>
      </c>
      <c r="L13" s="1"/>
    </row>
    <row r="14" spans="1:12" ht="28.8">
      <c r="A14" s="1" t="s">
        <v>21</v>
      </c>
      <c r="B14" s="1" t="s">
        <v>22</v>
      </c>
      <c r="C14" s="1" t="s">
        <v>204</v>
      </c>
      <c r="D14" s="1" t="s">
        <v>20</v>
      </c>
      <c r="E14" s="1" t="s">
        <v>205</v>
      </c>
      <c r="F14" s="1" t="s">
        <v>15</v>
      </c>
      <c r="G14" s="1" t="s">
        <v>206</v>
      </c>
      <c r="H14" s="1" t="s">
        <v>207</v>
      </c>
      <c r="I14" s="1" t="s">
        <v>208</v>
      </c>
      <c r="J14" s="1" t="s">
        <v>189</v>
      </c>
      <c r="K14" s="1" t="s">
        <v>26</v>
      </c>
      <c r="L14" s="1" t="s">
        <v>209</v>
      </c>
    </row>
    <row r="15" spans="1:12" ht="28.8">
      <c r="A15" s="1" t="s">
        <v>23</v>
      </c>
      <c r="B15" s="1" t="s">
        <v>22</v>
      </c>
      <c r="C15" s="1" t="s">
        <v>210</v>
      </c>
      <c r="D15" s="1" t="s">
        <v>20</v>
      </c>
      <c r="E15" s="1" t="s">
        <v>211</v>
      </c>
      <c r="F15" s="1" t="s">
        <v>15</v>
      </c>
      <c r="G15" s="1" t="s">
        <v>206</v>
      </c>
      <c r="H15" s="1" t="s">
        <v>187</v>
      </c>
      <c r="I15" s="1" t="s">
        <v>212</v>
      </c>
      <c r="J15" s="1" t="s">
        <v>189</v>
      </c>
      <c r="K15" s="1" t="s">
        <v>200</v>
      </c>
      <c r="L15" s="1"/>
    </row>
    <row r="16" spans="1:12" ht="43.2">
      <c r="A16" s="1" t="s">
        <v>24</v>
      </c>
      <c r="B16" s="1" t="s">
        <v>22</v>
      </c>
      <c r="C16" s="1" t="s">
        <v>213</v>
      </c>
      <c r="D16" s="1" t="s">
        <v>20</v>
      </c>
      <c r="E16" s="1" t="s">
        <v>25</v>
      </c>
      <c r="F16" s="1" t="s">
        <v>15</v>
      </c>
      <c r="G16" s="1" t="s">
        <v>214</v>
      </c>
      <c r="H16" s="1" t="s">
        <v>215</v>
      </c>
      <c r="I16" s="1" t="s">
        <v>216</v>
      </c>
      <c r="J16" s="1" t="s">
        <v>189</v>
      </c>
      <c r="K16" s="1" t="s">
        <v>26</v>
      </c>
      <c r="L16" s="1" t="s">
        <v>217</v>
      </c>
    </row>
    <row r="17" spans="1:12" ht="28.8">
      <c r="A17" s="1" t="s">
        <v>27</v>
      </c>
      <c r="B17" s="1" t="s">
        <v>22</v>
      </c>
      <c r="C17" s="1" t="s">
        <v>218</v>
      </c>
      <c r="D17" s="1" t="s">
        <v>20</v>
      </c>
      <c r="E17" s="1" t="s">
        <v>211</v>
      </c>
      <c r="F17" s="1" t="s">
        <v>15</v>
      </c>
      <c r="G17" s="1" t="s">
        <v>206</v>
      </c>
      <c r="H17" s="1" t="s">
        <v>187</v>
      </c>
      <c r="I17" s="1" t="s">
        <v>219</v>
      </c>
      <c r="J17" s="1" t="s">
        <v>189</v>
      </c>
      <c r="K17" s="1" t="s">
        <v>200</v>
      </c>
      <c r="L17" s="1"/>
    </row>
    <row r="18" spans="1:12" ht="28.8">
      <c r="A18" s="1" t="s">
        <v>28</v>
      </c>
      <c r="B18" s="1" t="s">
        <v>22</v>
      </c>
      <c r="C18" s="1" t="s">
        <v>29</v>
      </c>
      <c r="D18" s="1" t="s">
        <v>20</v>
      </c>
      <c r="E18" s="1" t="s">
        <v>220</v>
      </c>
      <c r="F18" s="1" t="s">
        <v>15</v>
      </c>
      <c r="G18" s="1" t="s">
        <v>206</v>
      </c>
      <c r="H18" s="1" t="s">
        <v>207</v>
      </c>
      <c r="I18" s="1" t="s">
        <v>221</v>
      </c>
      <c r="J18" s="1" t="s">
        <v>189</v>
      </c>
      <c r="K18" s="1" t="s">
        <v>26</v>
      </c>
      <c r="L18" s="1" t="s">
        <v>222</v>
      </c>
    </row>
    <row r="19" spans="1:12" ht="43.2">
      <c r="A19" s="1" t="s">
        <v>30</v>
      </c>
      <c r="B19" s="1" t="s">
        <v>22</v>
      </c>
      <c r="C19" s="1" t="s">
        <v>223</v>
      </c>
      <c r="D19" s="1" t="s">
        <v>224</v>
      </c>
      <c r="E19" s="1" t="s">
        <v>225</v>
      </c>
      <c r="F19" s="1" t="s">
        <v>226</v>
      </c>
      <c r="G19" s="1" t="s">
        <v>227</v>
      </c>
      <c r="H19" s="1" t="s">
        <v>228</v>
      </c>
      <c r="I19" s="1" t="s">
        <v>229</v>
      </c>
      <c r="J19" s="1" t="s">
        <v>189</v>
      </c>
      <c r="K19" s="1" t="s">
        <v>60</v>
      </c>
      <c r="L19" s="1" t="s">
        <v>230</v>
      </c>
    </row>
    <row r="20" spans="1:12" ht="43.2">
      <c r="A20" s="1" t="s">
        <v>31</v>
      </c>
      <c r="B20" s="1" t="s">
        <v>32</v>
      </c>
      <c r="C20" s="1" t="s">
        <v>231</v>
      </c>
      <c r="D20" s="1" t="s">
        <v>20</v>
      </c>
      <c r="E20" s="1" t="s">
        <v>25</v>
      </c>
      <c r="F20" s="1" t="s">
        <v>15</v>
      </c>
      <c r="G20" s="1" t="s">
        <v>232</v>
      </c>
      <c r="H20" s="1" t="s">
        <v>215</v>
      </c>
      <c r="I20" s="1" t="s">
        <v>233</v>
      </c>
      <c r="J20" s="1" t="s">
        <v>189</v>
      </c>
      <c r="K20" s="1" t="s">
        <v>26</v>
      </c>
      <c r="L20" s="1" t="s">
        <v>234</v>
      </c>
    </row>
    <row r="21" spans="1:12" ht="28.8">
      <c r="A21" s="1" t="s">
        <v>33</v>
      </c>
      <c r="B21" s="1" t="s">
        <v>32</v>
      </c>
      <c r="C21" s="1" t="s">
        <v>235</v>
      </c>
      <c r="D21" s="1" t="s">
        <v>20</v>
      </c>
      <c r="E21" s="1" t="s">
        <v>25</v>
      </c>
      <c r="F21" s="1" t="s">
        <v>236</v>
      </c>
      <c r="G21" s="1" t="s">
        <v>237</v>
      </c>
      <c r="H21" s="1" t="s">
        <v>215</v>
      </c>
      <c r="I21" s="1" t="s">
        <v>238</v>
      </c>
      <c r="J21" s="1" t="s">
        <v>189</v>
      </c>
      <c r="K21" s="1" t="s">
        <v>26</v>
      </c>
      <c r="L21" s="1" t="s">
        <v>239</v>
      </c>
    </row>
    <row r="22" spans="1:12" ht="43.2">
      <c r="A22" s="1" t="s">
        <v>34</v>
      </c>
      <c r="B22" s="1" t="s">
        <v>32</v>
      </c>
      <c r="C22" s="1" t="s">
        <v>240</v>
      </c>
      <c r="D22" s="1" t="s">
        <v>20</v>
      </c>
      <c r="E22" s="1" t="s">
        <v>25</v>
      </c>
      <c r="F22" s="1" t="s">
        <v>197</v>
      </c>
      <c r="G22" s="1" t="s">
        <v>241</v>
      </c>
      <c r="H22" s="1" t="s">
        <v>215</v>
      </c>
      <c r="I22" s="1" t="s">
        <v>242</v>
      </c>
      <c r="J22" s="1" t="s">
        <v>189</v>
      </c>
      <c r="K22" s="1" t="s">
        <v>26</v>
      </c>
      <c r="L22" s="1" t="s">
        <v>243</v>
      </c>
    </row>
    <row r="23" spans="1:12" ht="43.2">
      <c r="A23" s="1" t="s">
        <v>35</v>
      </c>
      <c r="B23" s="1" t="s">
        <v>32</v>
      </c>
      <c r="C23" s="1" t="s">
        <v>244</v>
      </c>
      <c r="D23" s="1" t="s">
        <v>20</v>
      </c>
      <c r="E23" s="1" t="s">
        <v>25</v>
      </c>
      <c r="F23" s="1" t="s">
        <v>15</v>
      </c>
      <c r="G23" s="1" t="s">
        <v>245</v>
      </c>
      <c r="H23" s="1" t="s">
        <v>215</v>
      </c>
      <c r="I23" s="1" t="s">
        <v>246</v>
      </c>
      <c r="J23" s="1" t="s">
        <v>189</v>
      </c>
      <c r="K23" s="1" t="s">
        <v>26</v>
      </c>
      <c r="L23" s="1" t="s">
        <v>247</v>
      </c>
    </row>
    <row r="24" spans="1:12" ht="43.2">
      <c r="A24" s="1" t="s">
        <v>36</v>
      </c>
      <c r="B24" s="1" t="s">
        <v>37</v>
      </c>
      <c r="C24" s="1" t="s">
        <v>248</v>
      </c>
      <c r="D24" s="1" t="s">
        <v>20</v>
      </c>
      <c r="E24" s="1" t="s">
        <v>38</v>
      </c>
      <c r="F24" s="1" t="s">
        <v>15</v>
      </c>
      <c r="G24" s="1" t="s">
        <v>249</v>
      </c>
      <c r="H24" s="1" t="s">
        <v>250</v>
      </c>
      <c r="I24" s="1" t="s">
        <v>251</v>
      </c>
      <c r="J24" s="1" t="s">
        <v>189</v>
      </c>
      <c r="K24" s="1" t="s">
        <v>26</v>
      </c>
      <c r="L24" s="1" t="s">
        <v>252</v>
      </c>
    </row>
    <row r="25" spans="1:12" ht="57.6">
      <c r="A25" s="1" t="s">
        <v>39</v>
      </c>
      <c r="B25" s="1" t="s">
        <v>37</v>
      </c>
      <c r="C25" s="1" t="s">
        <v>253</v>
      </c>
      <c r="D25" s="1" t="s">
        <v>41</v>
      </c>
      <c r="E25" s="1" t="s">
        <v>38</v>
      </c>
      <c r="F25" s="1" t="s">
        <v>254</v>
      </c>
      <c r="G25" s="1" t="s">
        <v>255</v>
      </c>
      <c r="H25" s="1" t="s">
        <v>250</v>
      </c>
      <c r="I25" s="1" t="s">
        <v>256</v>
      </c>
      <c r="J25" s="1" t="s">
        <v>189</v>
      </c>
      <c r="K25" s="1" t="s">
        <v>26</v>
      </c>
      <c r="L25" s="1" t="s">
        <v>257</v>
      </c>
    </row>
    <row r="26" spans="1:12" ht="28.8">
      <c r="A26" s="1" t="s">
        <v>40</v>
      </c>
      <c r="B26" s="1" t="s">
        <v>37</v>
      </c>
      <c r="C26" s="1" t="s">
        <v>258</v>
      </c>
      <c r="D26" s="1" t="s">
        <v>41</v>
      </c>
      <c r="E26" s="1" t="s">
        <v>38</v>
      </c>
      <c r="F26" s="1" t="s">
        <v>15</v>
      </c>
      <c r="G26" s="1" t="s">
        <v>259</v>
      </c>
      <c r="H26" s="1" t="s">
        <v>250</v>
      </c>
      <c r="I26" s="1" t="s">
        <v>260</v>
      </c>
      <c r="J26" s="1" t="s">
        <v>189</v>
      </c>
      <c r="K26" s="1" t="s">
        <v>200</v>
      </c>
      <c r="L26" s="1"/>
    </row>
    <row r="27" spans="1:12" ht="43.2">
      <c r="A27" s="1" t="s">
        <v>42</v>
      </c>
      <c r="B27" s="1" t="s">
        <v>37</v>
      </c>
      <c r="C27" s="1" t="s">
        <v>261</v>
      </c>
      <c r="D27" s="1" t="s">
        <v>41</v>
      </c>
      <c r="E27" s="1" t="s">
        <v>262</v>
      </c>
      <c r="F27" s="1" t="s">
        <v>15</v>
      </c>
      <c r="G27" s="1" t="s">
        <v>263</v>
      </c>
      <c r="H27" s="1" t="s">
        <v>264</v>
      </c>
      <c r="I27" s="1" t="s">
        <v>265</v>
      </c>
      <c r="J27" s="1" t="s">
        <v>189</v>
      </c>
      <c r="K27" s="1" t="s">
        <v>200</v>
      </c>
      <c r="L27" s="1"/>
    </row>
    <row r="28" spans="1:12" ht="43.2">
      <c r="A28" s="1" t="s">
        <v>43</v>
      </c>
      <c r="B28" s="1" t="s">
        <v>44</v>
      </c>
      <c r="C28" s="1" t="s">
        <v>266</v>
      </c>
      <c r="D28" s="1" t="s">
        <v>41</v>
      </c>
      <c r="E28" s="1" t="s">
        <v>220</v>
      </c>
      <c r="F28" s="1" t="s">
        <v>15</v>
      </c>
      <c r="G28" s="1" t="s">
        <v>267</v>
      </c>
      <c r="H28" s="1" t="s">
        <v>207</v>
      </c>
      <c r="I28" s="1" t="s">
        <v>268</v>
      </c>
      <c r="J28" s="1" t="s">
        <v>189</v>
      </c>
      <c r="K28" s="1" t="s">
        <v>26</v>
      </c>
      <c r="L28" s="1" t="s">
        <v>269</v>
      </c>
    </row>
    <row r="29" spans="1:12" ht="43.2">
      <c r="A29" s="1" t="s">
        <v>45</v>
      </c>
      <c r="B29" s="1" t="s">
        <v>44</v>
      </c>
      <c r="C29" s="1" t="s">
        <v>270</v>
      </c>
      <c r="D29" s="1" t="s">
        <v>41</v>
      </c>
      <c r="E29" s="1" t="s">
        <v>220</v>
      </c>
      <c r="F29" s="1" t="s">
        <v>271</v>
      </c>
      <c r="G29" s="1" t="s">
        <v>272</v>
      </c>
      <c r="H29" s="1" t="s">
        <v>207</v>
      </c>
      <c r="I29" s="1" t="s">
        <v>273</v>
      </c>
      <c r="J29" s="1" t="s">
        <v>189</v>
      </c>
      <c r="K29" s="1" t="s">
        <v>26</v>
      </c>
      <c r="L29" s="1" t="s">
        <v>274</v>
      </c>
    </row>
    <row r="30" spans="1:12" ht="28.8">
      <c r="A30" s="1" t="s">
        <v>46</v>
      </c>
      <c r="B30" s="1" t="s">
        <v>47</v>
      </c>
      <c r="C30" s="1" t="s">
        <v>275</v>
      </c>
      <c r="D30" s="1" t="s">
        <v>41</v>
      </c>
      <c r="E30" s="1" t="s">
        <v>276</v>
      </c>
      <c r="F30" s="1" t="s">
        <v>15</v>
      </c>
      <c r="G30" s="1" t="s">
        <v>277</v>
      </c>
      <c r="H30" s="1" t="s">
        <v>278</v>
      </c>
      <c r="I30" s="1" t="s">
        <v>279</v>
      </c>
      <c r="J30" s="1" t="s">
        <v>189</v>
      </c>
      <c r="K30" s="1" t="s">
        <v>200</v>
      </c>
      <c r="L30" s="1"/>
    </row>
    <row r="31" spans="1:12" ht="43.2">
      <c r="A31" s="1" t="s">
        <v>48</v>
      </c>
      <c r="B31" s="1" t="s">
        <v>47</v>
      </c>
      <c r="C31" s="1" t="s">
        <v>280</v>
      </c>
      <c r="D31" s="1" t="s">
        <v>49</v>
      </c>
      <c r="E31" s="1" t="s">
        <v>281</v>
      </c>
      <c r="F31" s="1" t="s">
        <v>15</v>
      </c>
      <c r="G31" s="1" t="s">
        <v>282</v>
      </c>
      <c r="H31" s="1" t="s">
        <v>283</v>
      </c>
      <c r="I31" s="1" t="s">
        <v>284</v>
      </c>
      <c r="J31" s="1" t="s">
        <v>189</v>
      </c>
      <c r="K31" s="1" t="s">
        <v>26</v>
      </c>
      <c r="L31" s="1" t="s">
        <v>285</v>
      </c>
    </row>
    <row r="32" spans="1:12" ht="43.2">
      <c r="A32" s="1" t="s">
        <v>50</v>
      </c>
      <c r="B32" s="1" t="s">
        <v>47</v>
      </c>
      <c r="C32" s="1" t="s">
        <v>286</v>
      </c>
      <c r="D32" s="1" t="s">
        <v>51</v>
      </c>
      <c r="E32" s="1" t="s">
        <v>287</v>
      </c>
      <c r="F32" s="1" t="s">
        <v>15</v>
      </c>
      <c r="G32" s="1" t="s">
        <v>288</v>
      </c>
      <c r="H32" s="1" t="s">
        <v>289</v>
      </c>
      <c r="I32" s="1" t="s">
        <v>290</v>
      </c>
      <c r="J32" s="1" t="s">
        <v>189</v>
      </c>
      <c r="K32" s="1" t="s">
        <v>26</v>
      </c>
      <c r="L32" s="1" t="s">
        <v>291</v>
      </c>
    </row>
    <row r="33" spans="1:12" ht="43.2">
      <c r="A33" s="1" t="s">
        <v>52</v>
      </c>
      <c r="B33" s="1" t="s">
        <v>292</v>
      </c>
      <c r="C33" s="1" t="s">
        <v>293</v>
      </c>
      <c r="D33" s="1" t="s">
        <v>51</v>
      </c>
      <c r="E33" s="1" t="s">
        <v>53</v>
      </c>
      <c r="F33" s="1" t="s">
        <v>15</v>
      </c>
      <c r="G33" s="1" t="s">
        <v>294</v>
      </c>
      <c r="H33" s="1" t="s">
        <v>295</v>
      </c>
      <c r="I33" s="1" t="s">
        <v>296</v>
      </c>
      <c r="J33" s="1" t="s">
        <v>189</v>
      </c>
      <c r="K33" s="1" t="s">
        <v>26</v>
      </c>
      <c r="L33" s="1" t="s">
        <v>297</v>
      </c>
    </row>
    <row r="34" spans="1:12" ht="43.2">
      <c r="A34" s="1" t="s">
        <v>54</v>
      </c>
      <c r="B34" s="1" t="s">
        <v>292</v>
      </c>
      <c r="C34" s="1" t="s">
        <v>298</v>
      </c>
      <c r="D34" s="1" t="s">
        <v>51</v>
      </c>
      <c r="E34" s="1" t="s">
        <v>53</v>
      </c>
      <c r="F34" s="1" t="s">
        <v>15</v>
      </c>
      <c r="G34" s="1" t="s">
        <v>299</v>
      </c>
      <c r="H34" s="1" t="s">
        <v>295</v>
      </c>
      <c r="I34" s="1" t="s">
        <v>300</v>
      </c>
      <c r="J34" s="1" t="s">
        <v>189</v>
      </c>
      <c r="K34" s="1" t="s">
        <v>200</v>
      </c>
      <c r="L34" s="1"/>
    </row>
    <row r="35" spans="1:12" ht="43.2">
      <c r="A35" s="1" t="s">
        <v>55</v>
      </c>
      <c r="B35" s="1" t="s">
        <v>292</v>
      </c>
      <c r="C35" s="1" t="s">
        <v>301</v>
      </c>
      <c r="D35" s="1" t="s">
        <v>51</v>
      </c>
      <c r="E35" s="1" t="s">
        <v>302</v>
      </c>
      <c r="F35" s="1" t="s">
        <v>303</v>
      </c>
      <c r="G35" s="1" t="s">
        <v>304</v>
      </c>
      <c r="H35" s="1" t="s">
        <v>305</v>
      </c>
      <c r="I35" s="1" t="s">
        <v>306</v>
      </c>
      <c r="J35" s="1" t="s">
        <v>189</v>
      </c>
      <c r="K35" s="1" t="s">
        <v>26</v>
      </c>
      <c r="L35" s="1" t="s">
        <v>307</v>
      </c>
    </row>
    <row r="36" spans="1:12" ht="43.2">
      <c r="A36" s="1" t="s">
        <v>56</v>
      </c>
      <c r="B36" s="1" t="s">
        <v>57</v>
      </c>
      <c r="C36" s="1" t="s">
        <v>308</v>
      </c>
      <c r="D36" s="1" t="s">
        <v>51</v>
      </c>
      <c r="E36" s="1" t="s">
        <v>309</v>
      </c>
      <c r="F36" s="1" t="s">
        <v>15</v>
      </c>
      <c r="G36" s="1" t="s">
        <v>310</v>
      </c>
      <c r="H36" s="1" t="s">
        <v>311</v>
      </c>
      <c r="I36" s="1" t="s">
        <v>312</v>
      </c>
      <c r="J36" s="1" t="s">
        <v>189</v>
      </c>
      <c r="K36" s="1" t="s">
        <v>26</v>
      </c>
      <c r="L36" s="1" t="s">
        <v>313</v>
      </c>
    </row>
    <row r="37" spans="1:12" ht="43.2">
      <c r="A37" s="1" t="s">
        <v>58</v>
      </c>
      <c r="B37" s="1" t="s">
        <v>57</v>
      </c>
      <c r="C37" s="1" t="s">
        <v>314</v>
      </c>
      <c r="D37" s="1" t="s">
        <v>51</v>
      </c>
      <c r="E37" s="1" t="s">
        <v>309</v>
      </c>
      <c r="F37" s="1" t="s">
        <v>15</v>
      </c>
      <c r="G37" s="1" t="s">
        <v>315</v>
      </c>
      <c r="H37" s="1" t="s">
        <v>311</v>
      </c>
      <c r="I37" s="1" t="s">
        <v>316</v>
      </c>
      <c r="J37" s="1" t="s">
        <v>189</v>
      </c>
      <c r="K37" s="1" t="s">
        <v>200</v>
      </c>
      <c r="L37" s="1"/>
    </row>
    <row r="38" spans="1:12" ht="43.2">
      <c r="A38" s="1" t="s">
        <v>59</v>
      </c>
      <c r="B38" s="1" t="s">
        <v>57</v>
      </c>
      <c r="C38" s="1" t="s">
        <v>317</v>
      </c>
      <c r="D38" s="1" t="s">
        <v>140</v>
      </c>
      <c r="E38" s="1" t="s">
        <v>318</v>
      </c>
      <c r="F38" s="1" t="s">
        <v>319</v>
      </c>
      <c r="G38" s="1" t="s">
        <v>320</v>
      </c>
      <c r="H38" s="1" t="s">
        <v>321</v>
      </c>
      <c r="I38" s="1" t="s">
        <v>322</v>
      </c>
      <c r="J38" s="1" t="s">
        <v>189</v>
      </c>
      <c r="K38" s="1" t="s">
        <v>60</v>
      </c>
      <c r="L38" s="1" t="s">
        <v>323</v>
      </c>
    </row>
    <row r="39" spans="1:12" ht="28.8">
      <c r="A39" s="1" t="s">
        <v>61</v>
      </c>
      <c r="B39" s="1" t="s">
        <v>62</v>
      </c>
      <c r="C39" s="1" t="s">
        <v>324</v>
      </c>
      <c r="D39" s="1" t="s">
        <v>51</v>
      </c>
      <c r="E39" s="1" t="s">
        <v>325</v>
      </c>
      <c r="F39" s="1" t="s">
        <v>15</v>
      </c>
      <c r="G39" s="1" t="s">
        <v>326</v>
      </c>
      <c r="H39" s="1" t="s">
        <v>278</v>
      </c>
      <c r="I39" s="1" t="s">
        <v>327</v>
      </c>
      <c r="J39" s="1" t="s">
        <v>189</v>
      </c>
      <c r="K39" s="1" t="s">
        <v>26</v>
      </c>
      <c r="L39" s="1" t="s">
        <v>328</v>
      </c>
    </row>
    <row r="40" spans="1:12" ht="43.2">
      <c r="A40" s="1" t="s">
        <v>63</v>
      </c>
      <c r="B40" s="1" t="s">
        <v>64</v>
      </c>
      <c r="C40" s="1" t="s">
        <v>329</v>
      </c>
      <c r="D40" s="1" t="s">
        <v>65</v>
      </c>
      <c r="E40" s="1" t="s">
        <v>330</v>
      </c>
      <c r="F40" s="1" t="s">
        <v>15</v>
      </c>
      <c r="G40" s="1" t="s">
        <v>331</v>
      </c>
      <c r="H40" s="1" t="s">
        <v>332</v>
      </c>
      <c r="I40" s="1" t="s">
        <v>333</v>
      </c>
      <c r="J40" s="1" t="s">
        <v>189</v>
      </c>
      <c r="K40" s="1" t="s">
        <v>26</v>
      </c>
      <c r="L40" s="1" t="s">
        <v>334</v>
      </c>
    </row>
    <row r="41" spans="1:12" ht="43.2">
      <c r="A41" s="1" t="s">
        <v>66</v>
      </c>
      <c r="B41" s="1" t="s">
        <v>64</v>
      </c>
      <c r="C41" s="1" t="s">
        <v>335</v>
      </c>
      <c r="D41" s="1" t="s">
        <v>67</v>
      </c>
      <c r="E41" s="1" t="s">
        <v>25</v>
      </c>
      <c r="F41" s="1" t="s">
        <v>15</v>
      </c>
      <c r="G41" s="1" t="s">
        <v>336</v>
      </c>
      <c r="H41" s="1" t="s">
        <v>215</v>
      </c>
      <c r="I41" s="1" t="s">
        <v>337</v>
      </c>
      <c r="J41" s="1" t="s">
        <v>189</v>
      </c>
      <c r="K41" s="1" t="s">
        <v>26</v>
      </c>
      <c r="L41" s="1" t="s">
        <v>338</v>
      </c>
    </row>
    <row r="42" spans="1:12" ht="57.6">
      <c r="A42" s="1" t="s">
        <v>68</v>
      </c>
      <c r="B42" s="1" t="s">
        <v>64</v>
      </c>
      <c r="C42" s="1" t="s">
        <v>339</v>
      </c>
      <c r="D42" s="1" t="s">
        <v>67</v>
      </c>
      <c r="E42" s="1" t="s">
        <v>340</v>
      </c>
      <c r="F42" s="1" t="s">
        <v>15</v>
      </c>
      <c r="G42" s="1" t="s">
        <v>341</v>
      </c>
      <c r="H42" s="1" t="s">
        <v>342</v>
      </c>
      <c r="I42" s="1" t="s">
        <v>343</v>
      </c>
      <c r="J42" s="1" t="s">
        <v>189</v>
      </c>
      <c r="K42" s="1" t="s">
        <v>26</v>
      </c>
      <c r="L42" s="1" t="s">
        <v>344</v>
      </c>
    </row>
    <row r="43" spans="1:12" ht="43.2">
      <c r="A43" s="1" t="s">
        <v>69</v>
      </c>
      <c r="B43" s="1" t="s">
        <v>64</v>
      </c>
      <c r="C43" s="1" t="s">
        <v>345</v>
      </c>
      <c r="D43" s="1" t="s">
        <v>67</v>
      </c>
      <c r="E43" s="1" t="s">
        <v>70</v>
      </c>
      <c r="F43" s="1" t="s">
        <v>15</v>
      </c>
      <c r="G43" s="1" t="s">
        <v>346</v>
      </c>
      <c r="H43" s="1" t="s">
        <v>250</v>
      </c>
      <c r="I43" s="1" t="s">
        <v>347</v>
      </c>
      <c r="J43" s="1" t="s">
        <v>189</v>
      </c>
      <c r="K43" s="1" t="s">
        <v>26</v>
      </c>
      <c r="L43" s="1" t="s">
        <v>348</v>
      </c>
    </row>
    <row r="44" spans="1:12" ht="43.2">
      <c r="A44" s="1" t="s">
        <v>71</v>
      </c>
      <c r="B44" s="1" t="s">
        <v>72</v>
      </c>
      <c r="C44" s="1" t="s">
        <v>349</v>
      </c>
      <c r="D44" s="1" t="s">
        <v>67</v>
      </c>
      <c r="E44" s="1" t="s">
        <v>350</v>
      </c>
      <c r="F44" s="1" t="s">
        <v>15</v>
      </c>
      <c r="G44" s="1" t="s">
        <v>351</v>
      </c>
      <c r="H44" s="1" t="s">
        <v>352</v>
      </c>
      <c r="I44" s="1" t="s">
        <v>353</v>
      </c>
      <c r="J44" s="1" t="s">
        <v>189</v>
      </c>
      <c r="K44" s="1" t="s">
        <v>200</v>
      </c>
      <c r="L44" s="1"/>
    </row>
    <row r="45" spans="1:12" ht="28.8">
      <c r="A45" s="1" t="s">
        <v>73</v>
      </c>
      <c r="B45" s="1" t="s">
        <v>72</v>
      </c>
      <c r="C45" s="1" t="s">
        <v>354</v>
      </c>
      <c r="D45" s="1" t="s">
        <v>67</v>
      </c>
      <c r="E45" s="1" t="s">
        <v>355</v>
      </c>
      <c r="F45" s="1" t="s">
        <v>15</v>
      </c>
      <c r="G45" s="1" t="s">
        <v>356</v>
      </c>
      <c r="H45" s="1" t="s">
        <v>357</v>
      </c>
      <c r="I45" s="1" t="s">
        <v>358</v>
      </c>
      <c r="J45" s="1" t="s">
        <v>189</v>
      </c>
      <c r="K45" s="1" t="s">
        <v>200</v>
      </c>
      <c r="L45" s="1"/>
    </row>
    <row r="46" spans="1:12" ht="43.2">
      <c r="A46" s="1" t="s">
        <v>74</v>
      </c>
      <c r="B46" s="1" t="s">
        <v>75</v>
      </c>
      <c r="C46" s="1" t="s">
        <v>359</v>
      </c>
      <c r="D46" s="1" t="s">
        <v>67</v>
      </c>
      <c r="E46" s="1" t="s">
        <v>167</v>
      </c>
      <c r="F46" s="1" t="s">
        <v>15</v>
      </c>
      <c r="G46" s="1" t="s">
        <v>360</v>
      </c>
      <c r="H46" s="1" t="s">
        <v>76</v>
      </c>
      <c r="I46" s="1" t="s">
        <v>361</v>
      </c>
      <c r="J46" s="1" t="s">
        <v>189</v>
      </c>
      <c r="K46" s="1" t="s">
        <v>26</v>
      </c>
      <c r="L46" s="1" t="s">
        <v>362</v>
      </c>
    </row>
    <row r="47" spans="1:12" ht="43.2">
      <c r="A47" s="1" t="s">
        <v>77</v>
      </c>
      <c r="B47" s="1" t="s">
        <v>75</v>
      </c>
      <c r="C47" s="1" t="s">
        <v>363</v>
      </c>
      <c r="D47" s="1" t="s">
        <v>67</v>
      </c>
      <c r="E47" s="1" t="s">
        <v>167</v>
      </c>
      <c r="F47" s="1" t="s">
        <v>15</v>
      </c>
      <c r="G47" s="1" t="s">
        <v>364</v>
      </c>
      <c r="H47" s="1" t="s">
        <v>76</v>
      </c>
      <c r="I47" s="1" t="s">
        <v>365</v>
      </c>
      <c r="J47" s="1" t="s">
        <v>189</v>
      </c>
      <c r="K47" s="1" t="s">
        <v>26</v>
      </c>
      <c r="L47" s="1" t="s">
        <v>366</v>
      </c>
    </row>
    <row r="48" spans="1:12" ht="43.2">
      <c r="A48" s="1" t="s">
        <v>78</v>
      </c>
      <c r="B48" s="1" t="s">
        <v>79</v>
      </c>
      <c r="C48" s="1" t="s">
        <v>367</v>
      </c>
      <c r="D48" s="1" t="s">
        <v>80</v>
      </c>
      <c r="E48" s="1" t="s">
        <v>368</v>
      </c>
      <c r="F48" s="1" t="s">
        <v>15</v>
      </c>
      <c r="G48" s="1" t="s">
        <v>369</v>
      </c>
      <c r="H48" s="1" t="s">
        <v>370</v>
      </c>
      <c r="I48" s="1" t="s">
        <v>371</v>
      </c>
      <c r="J48" s="1" t="s">
        <v>189</v>
      </c>
      <c r="K48" s="1" t="s">
        <v>26</v>
      </c>
      <c r="L48" s="1" t="s">
        <v>372</v>
      </c>
    </row>
    <row r="49" spans="1:12" ht="43.2">
      <c r="A49" s="1" t="s">
        <v>81</v>
      </c>
      <c r="B49" s="1" t="s">
        <v>79</v>
      </c>
      <c r="C49" s="1" t="s">
        <v>373</v>
      </c>
      <c r="D49" s="1" t="s">
        <v>80</v>
      </c>
      <c r="E49" s="1" t="s">
        <v>374</v>
      </c>
      <c r="F49" s="1" t="s">
        <v>15</v>
      </c>
      <c r="G49" s="1" t="s">
        <v>375</v>
      </c>
      <c r="H49" s="1" t="s">
        <v>376</v>
      </c>
      <c r="I49" s="1" t="s">
        <v>377</v>
      </c>
      <c r="J49" s="1" t="s">
        <v>189</v>
      </c>
      <c r="K49" s="1" t="s">
        <v>26</v>
      </c>
      <c r="L49" s="1" t="s">
        <v>378</v>
      </c>
    </row>
    <row r="50" spans="1:12" ht="57.6">
      <c r="A50" s="1" t="s">
        <v>82</v>
      </c>
      <c r="B50" s="1" t="s">
        <v>79</v>
      </c>
      <c r="C50" s="1" t="s">
        <v>379</v>
      </c>
      <c r="D50" s="1" t="s">
        <v>80</v>
      </c>
      <c r="E50" s="1" t="s">
        <v>380</v>
      </c>
      <c r="F50" s="1" t="s">
        <v>15</v>
      </c>
      <c r="G50" s="1" t="s">
        <v>381</v>
      </c>
      <c r="H50" s="1" t="s">
        <v>382</v>
      </c>
      <c r="I50" s="1" t="s">
        <v>383</v>
      </c>
      <c r="J50" s="1" t="s">
        <v>189</v>
      </c>
      <c r="K50" s="1" t="s">
        <v>200</v>
      </c>
      <c r="L50" s="1"/>
    </row>
    <row r="51" spans="1:12" ht="43.2">
      <c r="A51" s="1" t="s">
        <v>174</v>
      </c>
      <c r="B51" s="1" t="s">
        <v>64</v>
      </c>
      <c r="C51" s="1" t="s">
        <v>384</v>
      </c>
      <c r="D51" s="1" t="s">
        <v>182</v>
      </c>
      <c r="E51" s="1" t="s">
        <v>330</v>
      </c>
      <c r="F51" s="1" t="s">
        <v>15</v>
      </c>
      <c r="G51" s="1" t="s">
        <v>385</v>
      </c>
      <c r="H51" s="1" t="s">
        <v>332</v>
      </c>
      <c r="I51" s="1" t="s">
        <v>386</v>
      </c>
      <c r="J51" s="1" t="s">
        <v>189</v>
      </c>
      <c r="K51" s="1" t="s">
        <v>175</v>
      </c>
      <c r="L51" s="1" t="s">
        <v>387</v>
      </c>
    </row>
    <row r="52" spans="1:12" ht="43.2">
      <c r="A52" s="1" t="s">
        <v>176</v>
      </c>
      <c r="B52" s="1" t="s">
        <v>388</v>
      </c>
      <c r="C52" s="1" t="s">
        <v>389</v>
      </c>
      <c r="D52" s="1" t="s">
        <v>390</v>
      </c>
      <c r="E52" s="1" t="s">
        <v>177</v>
      </c>
      <c r="F52" s="1" t="s">
        <v>15</v>
      </c>
      <c r="G52" s="1" t="s">
        <v>391</v>
      </c>
      <c r="H52" s="1" t="s">
        <v>392</v>
      </c>
      <c r="I52" s="1" t="s">
        <v>393</v>
      </c>
      <c r="J52" s="1" t="s">
        <v>189</v>
      </c>
      <c r="K52" s="1" t="s">
        <v>175</v>
      </c>
      <c r="L52" s="1" t="s">
        <v>394</v>
      </c>
    </row>
    <row r="53" spans="1:12" ht="43.2">
      <c r="A53" s="1" t="s">
        <v>178</v>
      </c>
      <c r="B53" s="1" t="s">
        <v>79</v>
      </c>
      <c r="C53" s="1" t="s">
        <v>395</v>
      </c>
      <c r="D53" s="1" t="s">
        <v>183</v>
      </c>
      <c r="E53" s="1" t="s">
        <v>179</v>
      </c>
      <c r="F53" s="1" t="s">
        <v>15</v>
      </c>
      <c r="G53" s="1" t="s">
        <v>396</v>
      </c>
      <c r="H53" s="1" t="s">
        <v>397</v>
      </c>
      <c r="I53" s="1" t="s">
        <v>398</v>
      </c>
      <c r="J53" s="1" t="s">
        <v>189</v>
      </c>
      <c r="K53" s="1" t="s">
        <v>175</v>
      </c>
      <c r="L53" s="1" t="s">
        <v>399</v>
      </c>
    </row>
    <row r="54" spans="1:12" ht="43.2">
      <c r="A54" s="1" t="s">
        <v>180</v>
      </c>
      <c r="B54" s="1" t="s">
        <v>79</v>
      </c>
      <c r="C54" s="1" t="s">
        <v>400</v>
      </c>
      <c r="D54" s="1" t="s">
        <v>183</v>
      </c>
      <c r="E54" s="1" t="s">
        <v>181</v>
      </c>
      <c r="F54" s="1" t="s">
        <v>15</v>
      </c>
      <c r="G54" s="1" t="s">
        <v>401</v>
      </c>
      <c r="H54" s="1" t="s">
        <v>376</v>
      </c>
      <c r="I54" s="1" t="s">
        <v>402</v>
      </c>
      <c r="J54" s="1" t="s">
        <v>189</v>
      </c>
      <c r="K54" s="1" t="s">
        <v>175</v>
      </c>
      <c r="L54" s="1" t="s">
        <v>403</v>
      </c>
    </row>
  </sheetData>
  <conditionalFormatting sqref="J10:J54">
    <cfRule type="expression" dxfId="3" priority="1">
      <formula>J10="Vendor input required"</formula>
    </cfRule>
  </conditionalFormatting>
  <conditionalFormatting sqref="K10:K54">
    <cfRule type="expression" dxfId="2" priority="2">
      <formula>K10="Modified by Addendum 2"</formula>
    </cfRule>
    <cfRule type="expression" dxfId="1" priority="3">
      <formula>K10="Clarified by Addendum 2"</formula>
    </cfRule>
    <cfRule type="expression" dxfId="0" priority="4">
      <formula>K10="Scope unresolved in Addendum 2"</formula>
    </cfRule>
  </conditionalFormatting>
  <dataValidations count="2">
    <dataValidation type="list" sqref="K10:K54" xr:uid="{510658AD-F907-411F-9BB9-864FF245EB60}">
      <formula1>"Not yet reviewed,Clarified by Addendum 2,Modified by Addendum 2,Scope unresolved in Addendum 2,Needs full Addendum 2 review,None identified"</formula1>
    </dataValidation>
    <dataValidation type="list" sqref="J10:J54" xr:uid="{DBA53567-7A6A-4C4C-8AD1-E621C7AC6CB7}">
      <formula1>"Vendor input required,Clarification required,Resolved by addendum,Post-award,Not applicable"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B016B-9598-4CEE-B8B3-9861F127FEB8}">
  <dimension ref="A1:F6"/>
  <sheetViews>
    <sheetView workbookViewId="0">
      <selection activeCell="B31" sqref="B31"/>
    </sheetView>
  </sheetViews>
  <sheetFormatPr defaultRowHeight="14.4"/>
  <cols>
    <col min="1" max="1" width="24.77734375" customWidth="1"/>
    <col min="2" max="2" width="37.77734375" customWidth="1"/>
    <col min="3" max="3" width="27.33203125" customWidth="1"/>
    <col min="4" max="4" width="60.21875" customWidth="1"/>
    <col min="5" max="5" width="37.77734375" customWidth="1"/>
    <col min="6" max="6" width="61.109375" customWidth="1"/>
  </cols>
  <sheetData>
    <row r="1" spans="1:6" ht="17.399999999999999">
      <c r="A1" s="6" t="s">
        <v>404</v>
      </c>
      <c r="B1" s="12"/>
      <c r="C1" s="12"/>
      <c r="D1" s="12"/>
      <c r="E1" s="7"/>
      <c r="F1" s="7"/>
    </row>
    <row r="3" spans="1:6">
      <c r="A3" s="8" t="s">
        <v>83</v>
      </c>
      <c r="B3" s="8" t="s">
        <v>414</v>
      </c>
      <c r="C3" s="8" t="s">
        <v>415</v>
      </c>
      <c r="D3" s="8" t="s">
        <v>416</v>
      </c>
      <c r="E3" s="5"/>
      <c r="F3" s="5"/>
    </row>
    <row r="4" spans="1:6" ht="43.2">
      <c r="A4" s="1" t="s">
        <v>405</v>
      </c>
      <c r="B4" s="1" t="s">
        <v>406</v>
      </c>
      <c r="C4" s="1" t="s">
        <v>407</v>
      </c>
      <c r="D4" s="1" t="s">
        <v>84</v>
      </c>
      <c r="E4" s="1"/>
      <c r="F4" s="1"/>
    </row>
    <row r="5" spans="1:6" ht="43.2">
      <c r="A5" s="1" t="s">
        <v>408</v>
      </c>
      <c r="B5" s="1" t="s">
        <v>409</v>
      </c>
      <c r="C5" s="1" t="s">
        <v>410</v>
      </c>
      <c r="D5" s="1" t="s">
        <v>85</v>
      </c>
      <c r="E5" s="1"/>
      <c r="F5" s="1"/>
    </row>
    <row r="6" spans="1:6" ht="43.2">
      <c r="A6" s="1" t="s">
        <v>411</v>
      </c>
      <c r="B6" s="1" t="s">
        <v>412</v>
      </c>
      <c r="C6" s="1" t="s">
        <v>413</v>
      </c>
      <c r="D6" s="1" t="s">
        <v>86</v>
      </c>
      <c r="E6" s="1"/>
      <c r="F6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EB921-3221-4316-A7B9-69E1E766F69E}">
  <dimension ref="A1:H13"/>
  <sheetViews>
    <sheetView workbookViewId="0">
      <selection activeCell="E11" sqref="E11"/>
    </sheetView>
  </sheetViews>
  <sheetFormatPr defaultRowHeight="14.4"/>
  <cols>
    <col min="1" max="1" width="28.5546875" customWidth="1"/>
    <col min="2" max="2" width="59.109375" customWidth="1"/>
    <col min="4" max="8" width="20" customWidth="1"/>
  </cols>
  <sheetData>
    <row r="1" spans="1:8" ht="17.399999999999999">
      <c r="A1" s="14" t="s">
        <v>417</v>
      </c>
      <c r="B1" s="11"/>
      <c r="C1" s="12"/>
      <c r="D1" s="12"/>
      <c r="E1" s="12"/>
      <c r="F1" s="13"/>
      <c r="G1" s="13"/>
      <c r="H1" s="13"/>
    </row>
    <row r="2" spans="1:8">
      <c r="A2" s="15" t="s">
        <v>418</v>
      </c>
      <c r="B2" s="15" t="s">
        <v>419</v>
      </c>
    </row>
    <row r="3" spans="1:8">
      <c r="A3" s="1" t="s">
        <v>420</v>
      </c>
      <c r="B3" s="1" t="s">
        <v>421</v>
      </c>
      <c r="D3" s="10"/>
      <c r="E3" s="10"/>
      <c r="F3" s="10"/>
      <c r="G3" s="10"/>
      <c r="H3" s="10"/>
    </row>
    <row r="4" spans="1:8">
      <c r="A4" s="1" t="s">
        <v>422</v>
      </c>
      <c r="B4" s="1" t="s">
        <v>423</v>
      </c>
      <c r="D4" s="3"/>
    </row>
    <row r="5" spans="1:8">
      <c r="A5" s="1" t="s">
        <v>424</v>
      </c>
      <c r="B5" s="1" t="s">
        <v>425</v>
      </c>
      <c r="D5" s="3"/>
    </row>
    <row r="6" spans="1:8" ht="28.8">
      <c r="A6" s="1" t="s">
        <v>426</v>
      </c>
      <c r="B6" s="1" t="s">
        <v>427</v>
      </c>
      <c r="D6" s="3"/>
    </row>
    <row r="7" spans="1:8">
      <c r="A7" s="1" t="s">
        <v>428</v>
      </c>
      <c r="B7" s="1" t="s">
        <v>429</v>
      </c>
      <c r="D7" s="3"/>
    </row>
    <row r="8" spans="1:8">
      <c r="A8" s="1" t="s">
        <v>430</v>
      </c>
      <c r="B8" s="1">
        <v>45</v>
      </c>
      <c r="D8" s="3"/>
    </row>
    <row r="9" spans="1:8" ht="28.8">
      <c r="A9" s="1" t="s">
        <v>431</v>
      </c>
      <c r="B9" s="1" t="s">
        <v>432</v>
      </c>
    </row>
    <row r="10" spans="1:8" ht="28.8">
      <c r="A10" s="1" t="s">
        <v>433</v>
      </c>
      <c r="B10" s="1" t="s">
        <v>434</v>
      </c>
      <c r="C10" s="16"/>
      <c r="D10" s="16"/>
      <c r="E10" s="16"/>
      <c r="F10" s="16"/>
      <c r="G10" s="16"/>
      <c r="H10" s="16"/>
    </row>
    <row r="11" spans="1:8" ht="28.8">
      <c r="A11" s="1" t="s">
        <v>435</v>
      </c>
      <c r="B11" s="1" t="s">
        <v>436</v>
      </c>
      <c r="C11" s="3"/>
      <c r="D11" s="3"/>
      <c r="E11" s="3"/>
      <c r="F11" s="3"/>
      <c r="G11" s="3"/>
      <c r="H11" s="3"/>
    </row>
    <row r="12" spans="1:8" ht="28.8">
      <c r="A12" s="1" t="s">
        <v>437</v>
      </c>
      <c r="B12" s="1" t="s">
        <v>438</v>
      </c>
      <c r="C12" s="3"/>
      <c r="D12" s="3"/>
      <c r="E12" s="3"/>
      <c r="F12" s="3"/>
      <c r="G12" s="3"/>
      <c r="H12" s="3"/>
    </row>
    <row r="13" spans="1:8" ht="28.8">
      <c r="A13" s="1" t="s">
        <v>439</v>
      </c>
      <c r="B13" s="1" t="s">
        <v>440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0E8E2-60C6-42FC-97A0-D975A764B1A3}">
  <dimension ref="A1:H26"/>
  <sheetViews>
    <sheetView tabSelected="1" workbookViewId="0">
      <selection activeCell="K24" sqref="K24"/>
    </sheetView>
  </sheetViews>
  <sheetFormatPr defaultRowHeight="14.4"/>
  <cols>
    <col min="1" max="1" width="8.88671875" style="4"/>
    <col min="2" max="2" width="33.109375" style="4" customWidth="1"/>
    <col min="3" max="3" width="22.6640625" style="4" customWidth="1"/>
    <col min="4" max="4" width="19.5546875" style="4" customWidth="1"/>
    <col min="5" max="5" width="28.21875" style="4" customWidth="1"/>
    <col min="6" max="6" width="16.77734375" style="4" customWidth="1"/>
    <col min="7" max="7" width="14.44140625" style="4" customWidth="1"/>
    <col min="8" max="8" width="32.44140625" style="4" customWidth="1"/>
    <col min="9" max="16384" width="8.88671875" style="4"/>
  </cols>
  <sheetData>
    <row r="1" spans="1:8">
      <c r="A1" s="17" t="s">
        <v>0</v>
      </c>
      <c r="B1" s="17" t="s">
        <v>441</v>
      </c>
      <c r="C1" s="17" t="s">
        <v>442</v>
      </c>
      <c r="D1" s="17" t="s">
        <v>443</v>
      </c>
      <c r="E1" s="17" t="s">
        <v>444</v>
      </c>
      <c r="F1" s="17" t="s">
        <v>445</v>
      </c>
      <c r="G1" s="17" t="s">
        <v>87</v>
      </c>
      <c r="H1" s="17" t="s">
        <v>88</v>
      </c>
    </row>
    <row r="2" spans="1:8" ht="28.8">
      <c r="A2" s="1" t="s">
        <v>90</v>
      </c>
      <c r="B2" s="1" t="s">
        <v>446</v>
      </c>
      <c r="C2" s="1" t="s">
        <v>91</v>
      </c>
      <c r="D2" s="1" t="s">
        <v>92</v>
      </c>
      <c r="E2" s="1" t="s">
        <v>93</v>
      </c>
      <c r="F2" s="1" t="s">
        <v>447</v>
      </c>
      <c r="G2" s="1" t="s">
        <v>448</v>
      </c>
      <c r="H2" s="1" t="s">
        <v>449</v>
      </c>
    </row>
    <row r="3" spans="1:8" ht="28.8">
      <c r="A3" s="1" t="s">
        <v>94</v>
      </c>
      <c r="B3" s="1" t="s">
        <v>450</v>
      </c>
      <c r="C3" s="1" t="s">
        <v>95</v>
      </c>
      <c r="D3" s="1" t="s">
        <v>92</v>
      </c>
      <c r="E3" s="1" t="s">
        <v>93</v>
      </c>
      <c r="F3" s="1" t="s">
        <v>447</v>
      </c>
      <c r="G3" s="1" t="s">
        <v>448</v>
      </c>
      <c r="H3" s="1" t="s">
        <v>451</v>
      </c>
    </row>
    <row r="4" spans="1:8">
      <c r="A4" s="1" t="s">
        <v>96</v>
      </c>
      <c r="B4" s="1" t="s">
        <v>97</v>
      </c>
      <c r="C4" s="1" t="s">
        <v>91</v>
      </c>
      <c r="D4" s="1" t="s">
        <v>92</v>
      </c>
      <c r="E4" s="1" t="s">
        <v>93</v>
      </c>
      <c r="F4" s="1" t="s">
        <v>452</v>
      </c>
      <c r="G4" s="1" t="s">
        <v>448</v>
      </c>
      <c r="H4" s="1" t="s">
        <v>453</v>
      </c>
    </row>
    <row r="5" spans="1:8" ht="28.8">
      <c r="A5" s="1" t="s">
        <v>98</v>
      </c>
      <c r="B5" s="1" t="s">
        <v>99</v>
      </c>
      <c r="C5" s="1" t="s">
        <v>100</v>
      </c>
      <c r="D5" s="1" t="s">
        <v>92</v>
      </c>
      <c r="E5" s="1" t="s">
        <v>93</v>
      </c>
      <c r="F5" s="1" t="s">
        <v>207</v>
      </c>
      <c r="G5" s="1" t="s">
        <v>448</v>
      </c>
      <c r="H5" s="1" t="s">
        <v>454</v>
      </c>
    </row>
    <row r="6" spans="1:8" ht="28.8">
      <c r="A6" s="1" t="s">
        <v>101</v>
      </c>
      <c r="B6" s="1" t="s">
        <v>102</v>
      </c>
      <c r="C6" s="1" t="s">
        <v>103</v>
      </c>
      <c r="D6" s="1" t="s">
        <v>104</v>
      </c>
      <c r="E6" s="1" t="s">
        <v>105</v>
      </c>
      <c r="F6" s="1" t="s">
        <v>455</v>
      </c>
      <c r="G6" s="1" t="s">
        <v>448</v>
      </c>
      <c r="H6" s="1" t="s">
        <v>456</v>
      </c>
    </row>
    <row r="7" spans="1:8" ht="28.8">
      <c r="A7" s="1" t="s">
        <v>106</v>
      </c>
      <c r="B7" s="1" t="s">
        <v>107</v>
      </c>
      <c r="C7" s="1" t="s">
        <v>103</v>
      </c>
      <c r="D7" s="1" t="s">
        <v>104</v>
      </c>
      <c r="E7" s="1" t="s">
        <v>105</v>
      </c>
      <c r="F7" s="1" t="s">
        <v>457</v>
      </c>
      <c r="G7" s="1" t="s">
        <v>448</v>
      </c>
      <c r="H7" s="1" t="s">
        <v>456</v>
      </c>
    </row>
    <row r="8" spans="1:8" ht="28.8">
      <c r="A8" s="1" t="s">
        <v>108</v>
      </c>
      <c r="B8" s="1" t="s">
        <v>109</v>
      </c>
      <c r="C8" s="1" t="s">
        <v>110</v>
      </c>
      <c r="D8" s="1" t="s">
        <v>111</v>
      </c>
      <c r="E8" s="1" t="s">
        <v>112</v>
      </c>
      <c r="F8" s="1" t="s">
        <v>458</v>
      </c>
      <c r="G8" s="1" t="s">
        <v>459</v>
      </c>
      <c r="H8" s="1" t="s">
        <v>460</v>
      </c>
    </row>
    <row r="9" spans="1:8" ht="28.8">
      <c r="A9" s="1" t="s">
        <v>113</v>
      </c>
      <c r="B9" s="1" t="s">
        <v>461</v>
      </c>
      <c r="C9" s="1" t="s">
        <v>114</v>
      </c>
      <c r="D9" s="1" t="s">
        <v>92</v>
      </c>
      <c r="E9" s="1" t="s">
        <v>93</v>
      </c>
      <c r="F9" s="1" t="s">
        <v>447</v>
      </c>
      <c r="G9" s="1" t="s">
        <v>448</v>
      </c>
      <c r="H9" s="1" t="s">
        <v>462</v>
      </c>
    </row>
    <row r="10" spans="1:8" ht="28.8">
      <c r="A10" s="1" t="s">
        <v>115</v>
      </c>
      <c r="B10" s="1" t="s">
        <v>463</v>
      </c>
      <c r="C10" s="1" t="s">
        <v>116</v>
      </c>
      <c r="D10" s="1" t="s">
        <v>92</v>
      </c>
      <c r="E10" s="1" t="s">
        <v>93</v>
      </c>
      <c r="F10" s="1" t="s">
        <v>457</v>
      </c>
      <c r="G10" s="1" t="s">
        <v>448</v>
      </c>
      <c r="H10" s="1" t="s">
        <v>464</v>
      </c>
    </row>
    <row r="11" spans="1:8" ht="28.8">
      <c r="A11" s="1" t="s">
        <v>117</v>
      </c>
      <c r="B11" s="1" t="s">
        <v>118</v>
      </c>
      <c r="C11" s="1" t="s">
        <v>114</v>
      </c>
      <c r="D11" s="1" t="s">
        <v>92</v>
      </c>
      <c r="E11" s="1" t="s">
        <v>93</v>
      </c>
      <c r="F11" s="1" t="s">
        <v>465</v>
      </c>
      <c r="G11" s="1" t="s">
        <v>448</v>
      </c>
      <c r="H11" s="1" t="s">
        <v>466</v>
      </c>
    </row>
    <row r="12" spans="1:8">
      <c r="A12" s="1" t="s">
        <v>119</v>
      </c>
      <c r="B12" s="1" t="s">
        <v>467</v>
      </c>
      <c r="C12" s="1" t="s">
        <v>120</v>
      </c>
      <c r="D12" s="1" t="s">
        <v>92</v>
      </c>
      <c r="E12" s="1" t="s">
        <v>93</v>
      </c>
      <c r="F12" s="1" t="s">
        <v>121</v>
      </c>
      <c r="G12" s="1" t="s">
        <v>448</v>
      </c>
      <c r="H12" s="1" t="s">
        <v>468</v>
      </c>
    </row>
    <row r="13" spans="1:8" ht="28.8">
      <c r="A13" s="1" t="s">
        <v>122</v>
      </c>
      <c r="B13" s="1" t="s">
        <v>469</v>
      </c>
      <c r="C13" s="1" t="s">
        <v>123</v>
      </c>
      <c r="D13" s="1" t="s">
        <v>92</v>
      </c>
      <c r="E13" s="1" t="s">
        <v>124</v>
      </c>
      <c r="F13" s="1" t="s">
        <v>447</v>
      </c>
      <c r="G13" s="1" t="s">
        <v>448</v>
      </c>
      <c r="H13" s="1" t="s">
        <v>470</v>
      </c>
    </row>
    <row r="14" spans="1:8" ht="28.8">
      <c r="A14" s="1" t="s">
        <v>125</v>
      </c>
      <c r="B14" s="1" t="s">
        <v>126</v>
      </c>
      <c r="C14" s="1" t="s">
        <v>123</v>
      </c>
      <c r="D14" s="1" t="s">
        <v>127</v>
      </c>
      <c r="E14" s="1" t="s">
        <v>124</v>
      </c>
      <c r="F14" s="1" t="s">
        <v>447</v>
      </c>
      <c r="G14" s="1" t="s">
        <v>128</v>
      </c>
      <c r="H14" s="1" t="s">
        <v>471</v>
      </c>
    </row>
    <row r="15" spans="1:8" ht="28.8">
      <c r="A15" s="1" t="s">
        <v>144</v>
      </c>
      <c r="B15" s="1" t="s">
        <v>472</v>
      </c>
      <c r="C15" s="1" t="s">
        <v>145</v>
      </c>
      <c r="D15" s="1" t="s">
        <v>92</v>
      </c>
      <c r="E15" s="1" t="s">
        <v>93</v>
      </c>
      <c r="F15" s="1" t="s">
        <v>473</v>
      </c>
      <c r="G15" s="1" t="s">
        <v>448</v>
      </c>
      <c r="H15" s="1" t="s">
        <v>474</v>
      </c>
    </row>
    <row r="16" spans="1:8" ht="28.8">
      <c r="A16" s="1" t="s">
        <v>146</v>
      </c>
      <c r="B16" s="1" t="s">
        <v>475</v>
      </c>
      <c r="C16" s="1" t="s">
        <v>147</v>
      </c>
      <c r="D16" s="1" t="s">
        <v>92</v>
      </c>
      <c r="E16" s="1" t="s">
        <v>93</v>
      </c>
      <c r="F16" s="1" t="s">
        <v>476</v>
      </c>
      <c r="G16" s="1" t="s">
        <v>448</v>
      </c>
      <c r="H16" s="1" t="s">
        <v>477</v>
      </c>
    </row>
    <row r="17" spans="1:8" ht="28.8">
      <c r="A17" s="1" t="s">
        <v>148</v>
      </c>
      <c r="B17" s="1" t="s">
        <v>149</v>
      </c>
      <c r="C17" s="1" t="s">
        <v>150</v>
      </c>
      <c r="D17" s="1" t="s">
        <v>92</v>
      </c>
      <c r="E17" s="1" t="s">
        <v>93</v>
      </c>
      <c r="F17" s="1" t="s">
        <v>228</v>
      </c>
      <c r="G17" s="1" t="s">
        <v>448</v>
      </c>
      <c r="H17" s="1" t="s">
        <v>478</v>
      </c>
    </row>
    <row r="18" spans="1:8" ht="28.8">
      <c r="A18" s="1" t="s">
        <v>151</v>
      </c>
      <c r="B18" s="1" t="s">
        <v>479</v>
      </c>
      <c r="C18" s="1" t="s">
        <v>150</v>
      </c>
      <c r="D18" s="1" t="s">
        <v>92</v>
      </c>
      <c r="E18" s="1" t="s">
        <v>93</v>
      </c>
      <c r="F18" s="1" t="s">
        <v>207</v>
      </c>
      <c r="G18" s="1" t="s">
        <v>448</v>
      </c>
      <c r="H18" s="1" t="s">
        <v>480</v>
      </c>
    </row>
    <row r="19" spans="1:8" ht="28.8">
      <c r="A19" s="1" t="s">
        <v>152</v>
      </c>
      <c r="B19" s="1" t="s">
        <v>481</v>
      </c>
      <c r="C19" s="1" t="s">
        <v>150</v>
      </c>
      <c r="D19" s="1" t="s">
        <v>92</v>
      </c>
      <c r="E19" s="1" t="s">
        <v>93</v>
      </c>
      <c r="F19" s="1" t="s">
        <v>482</v>
      </c>
      <c r="G19" s="1" t="s">
        <v>448</v>
      </c>
      <c r="H19" s="1" t="s">
        <v>483</v>
      </c>
    </row>
    <row r="20" spans="1:8" ht="28.8">
      <c r="A20" s="1" t="s">
        <v>153</v>
      </c>
      <c r="B20" s="1" t="s">
        <v>484</v>
      </c>
      <c r="C20" s="1" t="s">
        <v>150</v>
      </c>
      <c r="D20" s="1" t="s">
        <v>92</v>
      </c>
      <c r="E20" s="1" t="s">
        <v>93</v>
      </c>
      <c r="F20" s="1" t="s">
        <v>76</v>
      </c>
      <c r="G20" s="1" t="s">
        <v>448</v>
      </c>
      <c r="H20" s="1" t="s">
        <v>485</v>
      </c>
    </row>
    <row r="21" spans="1:8">
      <c r="A21" s="1" t="s">
        <v>154</v>
      </c>
      <c r="B21" s="1" t="s">
        <v>155</v>
      </c>
      <c r="C21" s="1" t="s">
        <v>150</v>
      </c>
      <c r="D21" s="1" t="s">
        <v>92</v>
      </c>
      <c r="E21" s="1" t="s">
        <v>93</v>
      </c>
      <c r="F21" s="1" t="s">
        <v>486</v>
      </c>
      <c r="G21" s="1" t="s">
        <v>448</v>
      </c>
      <c r="H21" s="1" t="s">
        <v>487</v>
      </c>
    </row>
    <row r="22" spans="1:8" ht="28.8">
      <c r="A22" s="1" t="s">
        <v>156</v>
      </c>
      <c r="B22" s="1" t="s">
        <v>157</v>
      </c>
      <c r="C22" s="1" t="s">
        <v>150</v>
      </c>
      <c r="D22" s="1" t="s">
        <v>92</v>
      </c>
      <c r="E22" s="1" t="s">
        <v>93</v>
      </c>
      <c r="F22" s="1" t="s">
        <v>352</v>
      </c>
      <c r="G22" s="1" t="s">
        <v>448</v>
      </c>
      <c r="H22" s="1" t="s">
        <v>488</v>
      </c>
    </row>
    <row r="23" spans="1:8" ht="28.8">
      <c r="A23" s="1" t="s">
        <v>489</v>
      </c>
      <c r="B23" s="1" t="s">
        <v>490</v>
      </c>
      <c r="C23" s="1" t="s">
        <v>150</v>
      </c>
      <c r="D23" s="1" t="s">
        <v>491</v>
      </c>
      <c r="E23" s="1" t="s">
        <v>93</v>
      </c>
      <c r="F23" s="1" t="s">
        <v>492</v>
      </c>
      <c r="G23" s="1" t="s">
        <v>448</v>
      </c>
      <c r="H23" s="1" t="s">
        <v>493</v>
      </c>
    </row>
    <row r="24" spans="1:8" ht="28.8">
      <c r="A24" s="1" t="s">
        <v>494</v>
      </c>
      <c r="B24" s="1" t="s">
        <v>495</v>
      </c>
      <c r="C24" s="1" t="s">
        <v>114</v>
      </c>
      <c r="D24" s="1" t="s">
        <v>496</v>
      </c>
      <c r="E24" s="1" t="s">
        <v>93</v>
      </c>
      <c r="F24" s="1" t="s">
        <v>492</v>
      </c>
      <c r="G24" s="1" t="s">
        <v>448</v>
      </c>
      <c r="H24" s="1" t="s">
        <v>497</v>
      </c>
    </row>
    <row r="25" spans="1:8" ht="43.2">
      <c r="A25" s="1" t="s">
        <v>498</v>
      </c>
      <c r="B25" s="1" t="s">
        <v>499</v>
      </c>
      <c r="C25" s="1" t="s">
        <v>500</v>
      </c>
      <c r="D25" s="1" t="s">
        <v>92</v>
      </c>
      <c r="E25" s="1" t="s">
        <v>501</v>
      </c>
      <c r="F25" s="1" t="s">
        <v>447</v>
      </c>
      <c r="G25" s="1" t="s">
        <v>448</v>
      </c>
      <c r="H25" s="1" t="s">
        <v>502</v>
      </c>
    </row>
    <row r="26" spans="1:8" ht="43.2">
      <c r="A26" s="1" t="s">
        <v>503</v>
      </c>
      <c r="B26" s="1" t="s">
        <v>504</v>
      </c>
      <c r="C26" s="1" t="s">
        <v>505</v>
      </c>
      <c r="D26" s="1" t="s">
        <v>92</v>
      </c>
      <c r="E26" s="1" t="s">
        <v>124</v>
      </c>
      <c r="F26" s="1" t="s">
        <v>447</v>
      </c>
      <c r="G26" s="1" t="s">
        <v>448</v>
      </c>
      <c r="H26" s="1" t="s">
        <v>506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0B0D5-AC8E-4F34-8592-172F17BA1F0D}">
  <dimension ref="A1:G11"/>
  <sheetViews>
    <sheetView workbookViewId="0">
      <selection activeCell="B1" sqref="B1"/>
    </sheetView>
  </sheetViews>
  <sheetFormatPr defaultRowHeight="14.4"/>
  <cols>
    <col min="1" max="1" width="11.109375" customWidth="1"/>
    <col min="2" max="2" width="44.44140625" customWidth="1"/>
    <col min="3" max="3" width="26.6640625" customWidth="1"/>
    <col min="4" max="4" width="42.21875" customWidth="1"/>
    <col min="5" max="5" width="13.33203125" customWidth="1"/>
    <col min="6" max="6" width="44.44140625" customWidth="1"/>
    <col min="7" max="7" width="24.44140625" customWidth="1"/>
  </cols>
  <sheetData>
    <row r="1" spans="1:7" ht="17.399999999999999">
      <c r="A1" s="9" t="s">
        <v>507</v>
      </c>
      <c r="B1" s="9"/>
      <c r="C1" s="11"/>
      <c r="D1" s="11"/>
      <c r="E1" s="11"/>
      <c r="F1" s="11"/>
      <c r="G1" s="11"/>
    </row>
    <row r="2" spans="1:7">
      <c r="A2" s="18" t="s">
        <v>0</v>
      </c>
      <c r="B2" s="18" t="s">
        <v>508</v>
      </c>
      <c r="C2" s="18" t="s">
        <v>442</v>
      </c>
      <c r="D2" s="18" t="s">
        <v>509</v>
      </c>
      <c r="E2" s="18" t="s">
        <v>89</v>
      </c>
      <c r="F2" s="18" t="s">
        <v>510</v>
      </c>
      <c r="G2" s="18" t="s">
        <v>87</v>
      </c>
    </row>
    <row r="3" spans="1:7" ht="28.8">
      <c r="A3" s="1" t="s">
        <v>129</v>
      </c>
      <c r="B3" s="1" t="s">
        <v>511</v>
      </c>
      <c r="C3" s="1" t="s">
        <v>512</v>
      </c>
      <c r="D3" s="1" t="s">
        <v>513</v>
      </c>
      <c r="E3" s="1" t="s">
        <v>130</v>
      </c>
      <c r="F3" s="1" t="s">
        <v>514</v>
      </c>
      <c r="G3" s="1" t="s">
        <v>131</v>
      </c>
    </row>
    <row r="4" spans="1:7" ht="28.8">
      <c r="A4" s="1" t="s">
        <v>132</v>
      </c>
      <c r="B4" s="1" t="s">
        <v>515</v>
      </c>
      <c r="C4" s="1" t="s">
        <v>516</v>
      </c>
      <c r="D4" s="1" t="s">
        <v>517</v>
      </c>
      <c r="E4" s="1" t="s">
        <v>133</v>
      </c>
      <c r="F4" s="1" t="s">
        <v>518</v>
      </c>
      <c r="G4" s="1" t="s">
        <v>131</v>
      </c>
    </row>
    <row r="5" spans="1:7" ht="28.8">
      <c r="A5" s="1" t="s">
        <v>134</v>
      </c>
      <c r="B5" s="1" t="s">
        <v>519</v>
      </c>
      <c r="C5" s="1" t="s">
        <v>520</v>
      </c>
      <c r="D5" s="1" t="s">
        <v>521</v>
      </c>
      <c r="E5" s="1" t="s">
        <v>133</v>
      </c>
      <c r="F5" s="1" t="s">
        <v>522</v>
      </c>
      <c r="G5" s="1" t="s">
        <v>131</v>
      </c>
    </row>
    <row r="6" spans="1:7" ht="28.8">
      <c r="A6" s="1" t="s">
        <v>135</v>
      </c>
      <c r="B6" s="1" t="s">
        <v>523</v>
      </c>
      <c r="C6" s="1" t="s">
        <v>524</v>
      </c>
      <c r="D6" s="1" t="s">
        <v>525</v>
      </c>
      <c r="E6" s="1" t="s">
        <v>130</v>
      </c>
      <c r="F6" s="1" t="s">
        <v>526</v>
      </c>
      <c r="G6" s="1" t="s">
        <v>131</v>
      </c>
    </row>
    <row r="7" spans="1:7" ht="28.8">
      <c r="A7" s="1" t="s">
        <v>136</v>
      </c>
      <c r="B7" s="1" t="s">
        <v>527</v>
      </c>
      <c r="C7" s="1" t="s">
        <v>137</v>
      </c>
      <c r="D7" s="1" t="s">
        <v>528</v>
      </c>
      <c r="E7" s="1" t="s">
        <v>130</v>
      </c>
      <c r="F7" s="1" t="s">
        <v>529</v>
      </c>
      <c r="G7" s="1" t="s">
        <v>131</v>
      </c>
    </row>
    <row r="8" spans="1:7" ht="28.8">
      <c r="A8" s="1" t="s">
        <v>138</v>
      </c>
      <c r="B8" s="1" t="s">
        <v>530</v>
      </c>
      <c r="C8" s="1" t="s">
        <v>531</v>
      </c>
      <c r="D8" s="1" t="s">
        <v>532</v>
      </c>
      <c r="E8" s="1" t="s">
        <v>130</v>
      </c>
      <c r="F8" s="1" t="s">
        <v>533</v>
      </c>
      <c r="G8" s="1" t="s">
        <v>131</v>
      </c>
    </row>
    <row r="9" spans="1:7" ht="43.2">
      <c r="A9" s="1" t="s">
        <v>139</v>
      </c>
      <c r="B9" s="1" t="s">
        <v>534</v>
      </c>
      <c r="C9" s="1" t="s">
        <v>140</v>
      </c>
      <c r="D9" s="1" t="s">
        <v>535</v>
      </c>
      <c r="E9" s="1" t="s">
        <v>130</v>
      </c>
      <c r="F9" s="1" t="s">
        <v>536</v>
      </c>
      <c r="G9" s="1" t="s">
        <v>141</v>
      </c>
    </row>
    <row r="10" spans="1:7" ht="28.8">
      <c r="A10" s="1" t="s">
        <v>142</v>
      </c>
      <c r="B10" s="1" t="s">
        <v>537</v>
      </c>
      <c r="C10" s="1" t="s">
        <v>538</v>
      </c>
      <c r="D10" s="1" t="s">
        <v>539</v>
      </c>
      <c r="E10" s="1" t="s">
        <v>143</v>
      </c>
      <c r="F10" s="1" t="s">
        <v>540</v>
      </c>
      <c r="G10" s="1" t="s">
        <v>141</v>
      </c>
    </row>
    <row r="11" spans="1:7" ht="28.8">
      <c r="A11" s="1" t="s">
        <v>541</v>
      </c>
      <c r="B11" s="1" t="s">
        <v>542</v>
      </c>
      <c r="C11" s="1" t="s">
        <v>543</v>
      </c>
      <c r="D11" s="1" t="s">
        <v>544</v>
      </c>
      <c r="E11" s="1" t="s">
        <v>130</v>
      </c>
      <c r="F11" s="1" t="s">
        <v>545</v>
      </c>
      <c r="G11" s="1" t="s">
        <v>131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C5172-CC76-45D4-96EC-CCB9FF8FA04E}">
  <dimension ref="A1:H10"/>
  <sheetViews>
    <sheetView workbookViewId="0">
      <selection activeCell="E7" sqref="E7"/>
    </sheetView>
  </sheetViews>
  <sheetFormatPr defaultRowHeight="14.4"/>
  <cols>
    <col min="2" max="2" width="13.88671875" customWidth="1"/>
    <col min="3" max="3" width="41.77734375" customWidth="1"/>
    <col min="4" max="4" width="10" customWidth="1"/>
    <col min="5" max="5" width="20.44140625" customWidth="1"/>
    <col min="6" max="6" width="23.6640625" customWidth="1"/>
    <col min="7" max="7" width="19.109375" customWidth="1"/>
    <col min="8" max="8" width="14.88671875" customWidth="1"/>
  </cols>
  <sheetData>
    <row r="1" spans="1:8" ht="17.399999999999999">
      <c r="A1" s="9" t="s">
        <v>546</v>
      </c>
      <c r="B1" s="9"/>
      <c r="C1" s="11"/>
      <c r="D1" s="11"/>
      <c r="E1" s="11"/>
      <c r="F1" s="11"/>
      <c r="G1" s="11"/>
    </row>
    <row r="2" spans="1:8">
      <c r="A2" s="18" t="s">
        <v>0</v>
      </c>
      <c r="B2" s="18" t="s">
        <v>547</v>
      </c>
      <c r="C2" s="18" t="s">
        <v>548</v>
      </c>
      <c r="D2" s="18" t="s">
        <v>158</v>
      </c>
      <c r="E2" s="18" t="s">
        <v>445</v>
      </c>
      <c r="F2" s="18" t="s">
        <v>549</v>
      </c>
      <c r="G2" s="18" t="s">
        <v>87</v>
      </c>
      <c r="H2" s="1"/>
    </row>
    <row r="3" spans="1:8" ht="28.8">
      <c r="A3" s="1" t="s">
        <v>159</v>
      </c>
      <c r="B3" s="1" t="s">
        <v>550</v>
      </c>
      <c r="C3" s="1" t="s">
        <v>551</v>
      </c>
      <c r="D3" s="1" t="s">
        <v>133</v>
      </c>
      <c r="E3" s="1" t="s">
        <v>447</v>
      </c>
      <c r="F3" s="1" t="s">
        <v>552</v>
      </c>
      <c r="G3" s="1" t="s">
        <v>160</v>
      </c>
      <c r="H3" s="1"/>
    </row>
    <row r="4" spans="1:8" ht="28.8">
      <c r="A4" s="1" t="s">
        <v>161</v>
      </c>
      <c r="B4" s="1" t="s">
        <v>553</v>
      </c>
      <c r="C4" s="1" t="s">
        <v>554</v>
      </c>
      <c r="D4" s="1" t="s">
        <v>133</v>
      </c>
      <c r="E4" s="1" t="s">
        <v>476</v>
      </c>
      <c r="F4" s="1" t="s">
        <v>162</v>
      </c>
      <c r="G4" s="1" t="s">
        <v>555</v>
      </c>
      <c r="H4" s="1"/>
    </row>
    <row r="5" spans="1:8" ht="28.8">
      <c r="A5" s="1" t="s">
        <v>163</v>
      </c>
      <c r="B5" s="1" t="s">
        <v>556</v>
      </c>
      <c r="C5" s="1" t="s">
        <v>557</v>
      </c>
      <c r="D5" s="1" t="s">
        <v>133</v>
      </c>
      <c r="E5" s="1" t="s">
        <v>558</v>
      </c>
      <c r="F5" s="1" t="s">
        <v>559</v>
      </c>
      <c r="G5" s="1" t="s">
        <v>189</v>
      </c>
      <c r="H5" s="1"/>
    </row>
    <row r="6" spans="1:8" ht="28.8">
      <c r="A6" s="1" t="s">
        <v>164</v>
      </c>
      <c r="B6" s="1" t="s">
        <v>165</v>
      </c>
      <c r="C6" s="1" t="s">
        <v>560</v>
      </c>
      <c r="D6" s="1" t="s">
        <v>133</v>
      </c>
      <c r="E6" s="1" t="s">
        <v>207</v>
      </c>
      <c r="F6" s="1" t="s">
        <v>561</v>
      </c>
      <c r="G6" s="1" t="s">
        <v>189</v>
      </c>
      <c r="H6" s="1"/>
    </row>
    <row r="7" spans="1:8" ht="28.8">
      <c r="A7" s="1" t="s">
        <v>166</v>
      </c>
      <c r="B7" s="1" t="s">
        <v>167</v>
      </c>
      <c r="C7" s="1" t="s">
        <v>562</v>
      </c>
      <c r="D7" s="1" t="s">
        <v>133</v>
      </c>
      <c r="E7" s="1" t="s">
        <v>76</v>
      </c>
      <c r="F7" s="1" t="s">
        <v>563</v>
      </c>
      <c r="G7" s="1" t="s">
        <v>189</v>
      </c>
      <c r="H7" s="1"/>
    </row>
    <row r="8" spans="1:8" ht="28.8">
      <c r="A8" s="1" t="s">
        <v>168</v>
      </c>
      <c r="B8" s="1" t="s">
        <v>169</v>
      </c>
      <c r="C8" s="1" t="s">
        <v>564</v>
      </c>
      <c r="D8" s="1" t="s">
        <v>130</v>
      </c>
      <c r="E8" s="1" t="s">
        <v>473</v>
      </c>
      <c r="F8" s="1" t="s">
        <v>170</v>
      </c>
      <c r="G8" s="1" t="s">
        <v>189</v>
      </c>
      <c r="H8" s="1"/>
    </row>
    <row r="9" spans="1:8" ht="28.8">
      <c r="A9" s="1" t="s">
        <v>171</v>
      </c>
      <c r="B9" s="1" t="s">
        <v>172</v>
      </c>
      <c r="C9" s="1" t="s">
        <v>565</v>
      </c>
      <c r="D9" s="1" t="s">
        <v>133</v>
      </c>
      <c r="E9" s="1" t="s">
        <v>228</v>
      </c>
      <c r="F9" s="1" t="s">
        <v>566</v>
      </c>
      <c r="G9" s="1" t="s">
        <v>189</v>
      </c>
      <c r="H9" s="1"/>
    </row>
    <row r="10" spans="1:8" ht="43.2">
      <c r="A10" s="1" t="s">
        <v>173</v>
      </c>
      <c r="B10" s="1" t="s">
        <v>567</v>
      </c>
      <c r="C10" s="1" t="s">
        <v>568</v>
      </c>
      <c r="D10" s="1" t="s">
        <v>133</v>
      </c>
      <c r="E10" s="1" t="s">
        <v>447</v>
      </c>
      <c r="F10" s="1" t="s">
        <v>569</v>
      </c>
      <c r="G10" s="1" t="s">
        <v>570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Compliance Matrix</vt:lpstr>
      <vt:lpstr>Source Register</vt:lpstr>
      <vt:lpstr>Summary</vt:lpstr>
      <vt:lpstr>Submission checklist</vt:lpstr>
      <vt:lpstr>Risk and clarification log</vt:lpstr>
      <vt:lpstr>Response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Sanduprabha Rashmindi</dc:creator>
  <cp:lastModifiedBy>Sanduprabha Rashmindi</cp:lastModifiedBy>
  <dcterms:created xsi:type="dcterms:W3CDTF">2026-09-18T09:49:47Z</dcterms:created>
  <dcterms:modified xsi:type="dcterms:W3CDTF">2026-09-19T09:28:55Z</dcterms:modified>
</cp:coreProperties>
</file>